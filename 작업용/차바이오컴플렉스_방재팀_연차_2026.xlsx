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s2\Desktop\휴가신청서\"/>
    </mc:Choice>
  </mc:AlternateContent>
  <xr:revisionPtr revIDLastSave="0" documentId="13_ncr:1_{45C2ADC4-BE44-431F-98F5-15F287AB040B}" xr6:coauthVersionLast="45" xr6:coauthVersionMax="45" xr10:uidLastSave="{00000000-0000-0000-0000-000000000000}"/>
  <bookViews>
    <workbookView xWindow="-120" yWindow="-120" windowWidth="29040" windowHeight="15840" xr2:uid="{CBB91E79-B108-4A7E-B335-57DC3C1B2A5C}"/>
  </bookViews>
  <sheets>
    <sheet name="방재팀 (2026)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??">#REF!</definedName>
    <definedName name="_????">#REF!</definedName>
    <definedName name="_?쨲?f">#REF!</definedName>
    <definedName name="________key2" hidden="1">#REF!</definedName>
    <definedName name="_______key2" hidden="1">#REF!</definedName>
    <definedName name="_____key2" hidden="1">#REF!</definedName>
    <definedName name="____key2" hidden="1">#REF!</definedName>
    <definedName name="___key2" hidden="1">#REF!</definedName>
    <definedName name="__AHU2">#N/A</definedName>
    <definedName name="__AHU222">#N/A</definedName>
    <definedName name="__AHU3">#N/A</definedName>
    <definedName name="__E5844" localSheetId="0">BlankMacro1</definedName>
    <definedName name="__E5844">BlankMacro1</definedName>
    <definedName name="__F475" localSheetId="0">BlankMacro1</definedName>
    <definedName name="__F475">BlankMacro1</definedName>
    <definedName name="__key2" hidden="1">#REF!</definedName>
    <definedName name="__red2">#N/A</definedName>
    <definedName name="_1">#REF!</definedName>
    <definedName name="_1__GENERAL__">#REF!</definedName>
    <definedName name="_11">#N/A</definedName>
    <definedName name="_1월">#REF!</definedName>
    <definedName name="_2">#REF!</definedName>
    <definedName name="_2__PIPING__">#REF!</definedName>
    <definedName name="_22">#N/A</definedName>
    <definedName name="_3">#N/A</definedName>
    <definedName name="_3__STR_STEEL__">#REF!</definedName>
    <definedName name="_4">#N/A</definedName>
    <definedName name="_5">#N/A</definedName>
    <definedName name="_6">#N/A</definedName>
    <definedName name="_6__EQUIPMENT__">#REF!</definedName>
    <definedName name="_7__INSULATION_">#REF!</definedName>
    <definedName name="_7용기사용계획">#REF!</definedName>
    <definedName name="_8__PAINTING__">#REF!</definedName>
    <definedName name="_82412_23000">#REF!</definedName>
    <definedName name="_82424_34010">#REF!</definedName>
    <definedName name="_82632_33001">#REF!</definedName>
    <definedName name="_82634_33001">#REF!</definedName>
    <definedName name="_82641_33002">#REF!</definedName>
    <definedName name="_82643_21000">#REF!</definedName>
    <definedName name="_83403_34010">#REF!</definedName>
    <definedName name="_83404_34010">#REF!</definedName>
    <definedName name="_83411_34000">#REF!</definedName>
    <definedName name="_83411_34020">#REF!</definedName>
    <definedName name="_83417_34000">#REF!</definedName>
    <definedName name="_83417_34020">#REF!</definedName>
    <definedName name="_83421_34000">#REF!</definedName>
    <definedName name="_83421_34020">#REF!</definedName>
    <definedName name="_83427_34000">#REF!</definedName>
    <definedName name="_83427_34020">#REF!</definedName>
    <definedName name="_83511_34000">#REF!</definedName>
    <definedName name="_83512_34000">#REF!</definedName>
    <definedName name="_83514_34000">#REF!</definedName>
    <definedName name="_83516_34000">#REF!</definedName>
    <definedName name="_83517_34000">#REF!</definedName>
    <definedName name="_83519_34000">#REF!</definedName>
    <definedName name="_83519_34010">#REF!</definedName>
    <definedName name="_83519_34030">#REF!</definedName>
    <definedName name="_83521_34000">#REF!</definedName>
    <definedName name="_83522_34000">#REF!</definedName>
    <definedName name="_83527_34000">#REF!</definedName>
    <definedName name="_83531_34000">#REF!</definedName>
    <definedName name="_83533_34000">#REF!</definedName>
    <definedName name="_83541_34000">#REF!</definedName>
    <definedName name="_83543_34000">#REF!</definedName>
    <definedName name="_83552_34000">#REF!</definedName>
    <definedName name="_83553_34000">#REF!</definedName>
    <definedName name="_83555_34000">#REF!</definedName>
    <definedName name="_83557_34000">#REF!</definedName>
    <definedName name="_83562_34000">#REF!</definedName>
    <definedName name="_83565_34000">#REF!</definedName>
    <definedName name="_83567_34000">#REF!</definedName>
    <definedName name="_98810_34010">#REF!</definedName>
    <definedName name="_98820_34010">#REF!</definedName>
    <definedName name="_B2">#REF!</definedName>
    <definedName name="_C1244ㅁ1430">#REF!</definedName>
    <definedName name="_CX3">#N/A</definedName>
    <definedName name="_DAT34">#REF!</definedName>
    <definedName name="_DAT35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ELL45">#REF!</definedName>
    <definedName name="_ELL90">#REF!</definedName>
    <definedName name="_FF3">#REF!</definedName>
    <definedName name="_Fill" hidden="1">#REF!</definedName>
    <definedName name="_xlnm._FilterDatabase" localSheetId="0" hidden="1">'방재팀 (2026)'!$A$3:$AD$5</definedName>
    <definedName name="_xlnm._FilterDatabase" hidden="1">[1]총원부!$B$2:$GV$119</definedName>
    <definedName name="_IL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oZ1">#REF!</definedName>
    <definedName name="_P1">#REF!</definedName>
    <definedName name="_P10">#REF!</definedName>
    <definedName name="_P11">#REF!</definedName>
    <definedName name="_P12">#REF!</definedName>
    <definedName name="_P13">#REF!</definedName>
    <definedName name="_P14">#REF!</definedName>
    <definedName name="_P15">#REF!</definedName>
    <definedName name="_P16">#REF!</definedName>
    <definedName name="_P17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H1">#REF!</definedName>
    <definedName name="_PI48">#REF!</definedName>
    <definedName name="_PI60">#REF!</definedName>
    <definedName name="_PLT1">#REF!</definedName>
    <definedName name="_PLT2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 hidden="1">1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L1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N1">#REF!</definedName>
    <definedName name="_TON2">#REF!</definedName>
    <definedName name="_TT1">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_x">#REF!</definedName>
    <definedName name="_x1">#REF!</definedName>
    <definedName name="_x2">#REF!</definedName>
    <definedName name="_y">#REF!</definedName>
    <definedName name="_공휴일">[2]공휴일정리!$C$2:$C$19</definedName>
    <definedName name="_성명">#REF!</definedName>
    <definedName name="_연차현황">#REF!</definedName>
    <definedName name="」">#REF!</definedName>
    <definedName name="\0">#REF!</definedName>
    <definedName name="\1">#REF!</definedName>
    <definedName name="\a">#REF!</definedName>
    <definedName name="\aa">#REF!</definedName>
    <definedName name="\b">#REF!</definedName>
    <definedName name="\c">#REF!</definedName>
    <definedName name="\e">#REF!</definedName>
    <definedName name="\h">#REF!</definedName>
    <definedName name="\i">#REF!</definedName>
    <definedName name="\l">#REF!</definedName>
    <definedName name="\p">#REF!</definedName>
    <definedName name="\q">#REF!</definedName>
    <definedName name="\r">#N/A</definedName>
    <definedName name="\s">#N/A</definedName>
    <definedName name="\t">#REF!</definedName>
    <definedName name="\u">#REF!</definedName>
    <definedName name="\w">#REF!</definedName>
    <definedName name="\x">#N/A</definedName>
    <definedName name="\y">#REF!</definedName>
    <definedName name="\Z">[3]A!#REF!</definedName>
    <definedName name="√">"SQRT"</definedName>
    <definedName name="↑">#REF!</definedName>
    <definedName name="※_추후_NAVA__PROJECT는__부품_">#REF!</definedName>
    <definedName name="a">#REF!</definedName>
    <definedName name="A80品質管理図_グラフ_List">#REF!</definedName>
    <definedName name="AAA">#REF!</definedName>
    <definedName name="AAAA">#REF!</definedName>
    <definedName name="AAAAAAAA">#REF!</definedName>
    <definedName name="AAAAAAAAAAA">#N/A</definedName>
    <definedName name="AAF">#REF!</definedName>
    <definedName name="abc">#REF!</definedName>
    <definedName name="AC">#REF!</definedName>
    <definedName name="Access_Button" hidden="1">"X4월자금_Sheet8_List"</definedName>
    <definedName name="AccessDatabase" hidden="1">"A:\4월자금.mdb"</definedName>
    <definedName name="AD">#REF!</definedName>
    <definedName name="AIR_PIPE">#REF!</definedName>
    <definedName name="air_trap">#REF!</definedName>
    <definedName name="AL">#REF!</definedName>
    <definedName name="Amt_Contingency">#REF!</definedName>
    <definedName name="AMT_CONTINGENCY_FEE">#REF!</definedName>
    <definedName name="Amt_Demolition">#REF!</definedName>
    <definedName name="Amt_Design.Fee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oject">#REF!</definedName>
    <definedName name="Amt_Sub.Struc">#REF!</definedName>
    <definedName name="Amt_Super.Struc">#REF!</definedName>
    <definedName name="ANFRK2">#REF!</definedName>
    <definedName name="ANFRK3">#REF!</definedName>
    <definedName name="anfrkk">#REF!</definedName>
    <definedName name="angle">#REF!</definedName>
    <definedName name="AS">#N/A</definedName>
    <definedName name="asdf">#REF!</definedName>
    <definedName name="asDFADSG">#REF!</definedName>
    <definedName name="ASSSS">#N/A</definedName>
    <definedName name="ASTM">#REF!</definedName>
    <definedName name="AVERAGY_VELOCITY">#REF!</definedName>
    <definedName name="AX">#N/A</definedName>
    <definedName name="b">#REF!</definedName>
    <definedName name="B__OTHERS__">#REF!</definedName>
    <definedName name="B_1">#REF!</definedName>
    <definedName name="B_FLG">#REF!</definedName>
    <definedName name="back_pressure">#REF!</definedName>
    <definedName name="ball">#REF!</definedName>
    <definedName name="BB">#REF!</definedName>
    <definedName name="BB030100M">#REF!</definedName>
    <definedName name="BB030100Q">#REF!</definedName>
    <definedName name="BB0303001M">#REF!</definedName>
    <definedName name="BB030300M">#REF!</definedName>
    <definedName name="BB030400M">#REF!</definedName>
    <definedName name="BB030400Q">#REF!</definedName>
    <definedName name="BBBBBBBB" localSheetId="0">BlankMacro1</definedName>
    <definedName name="BBBBBBBB">BlankMacro1</definedName>
    <definedName name="BDCODE">#N/A</definedName>
    <definedName name="BOLT">#REF!</definedName>
    <definedName name="BOQ">#REF!</definedName>
    <definedName name="Bored_60">#REF!</definedName>
    <definedName name="BOSS">#REF!</definedName>
    <definedName name="BOX_RA02">#REF!</definedName>
    <definedName name="BOX_RB02">#REF!</definedName>
    <definedName name="BRKT_ASST">#REF!</definedName>
    <definedName name="BSRATE">#REF!</definedName>
    <definedName name="btw_01">#REF!,#REF!,#REF!,#REF!,#REF!,#REF!,#REF!,#REF!,#REF!</definedName>
    <definedName name="btw_03">#REF!,#REF!,#REF!,#REF!,#REF!</definedName>
    <definedName name="butterfly">#REF!</definedName>
    <definedName name="C_">#N/A</definedName>
    <definedName name="CABLE">#REF!</definedName>
    <definedName name="CAP">#REF!</definedName>
    <definedName name="Case_100">#REF!</definedName>
    <definedName name="Case_80">#REF!</definedName>
    <definedName name="CC">#REF!</definedName>
    <definedName name="CC.QQ">#REF!</definedName>
    <definedName name="CCC">#REF!</definedName>
    <definedName name="ccccc">#N/A</definedName>
    <definedName name="ccccccc">#REF!</definedName>
    <definedName name="cccccccccss">#REF!</definedName>
    <definedName name="CCS">#N/A</definedName>
    <definedName name="CDE">#REF!</definedName>
    <definedName name="CDFA" localSheetId="0">BlankMacro1</definedName>
    <definedName name="CDFA">BlankMacro1</definedName>
    <definedName name="CDSXCSD">#N/A</definedName>
    <definedName name="Cell_Errors">#N/A</definedName>
    <definedName name="Certi_unitprice">#REF!</definedName>
    <definedName name="Certi_unitprice_h">#REF!</definedName>
    <definedName name="Certi_unitprice_u">#REF!</definedName>
    <definedName name="CH">#REF!</definedName>
    <definedName name="check">#REF!</definedName>
    <definedName name="cj">#REF!</definedName>
    <definedName name="CM">#REF!</definedName>
    <definedName name="COA_10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_XLS1_Temp">#REF!</definedName>
    <definedName name="COA_XLS2_Temp">#REF!</definedName>
    <definedName name="COA50A">#REF!</definedName>
    <definedName name="COA50B">#REF!</definedName>
    <definedName name="COM">#REF!</definedName>
    <definedName name="Con_unitprice">#REF!</definedName>
    <definedName name="Conc_A">#REF!</definedName>
    <definedName name="Conc_C">#REF!</definedName>
    <definedName name="CONSUM">#REF!</definedName>
    <definedName name="Cost_Temp.Equip">#REF!</definedName>
    <definedName name="COSTT" hidden="1">#REF!</definedName>
    <definedName name="CPLG">#REF!</definedName>
    <definedName name="CRTC">#REF!</definedName>
    <definedName name="CSS">#N/A</definedName>
    <definedName name="Currency">[4]Assumptions!$B$7</definedName>
    <definedName name="Current_M">'[5]Com-Button'!$E$2</definedName>
    <definedName name="CV_18">#REF!</definedName>
    <definedName name="D">#N/A</definedName>
    <definedName name="D12_">#N/A</definedName>
    <definedName name="D20_">#N/A</definedName>
    <definedName name="DADADS">#N/A</definedName>
    <definedName name="DAGEGAWGWEG" localSheetId="0">BlankMacro1</definedName>
    <definedName name="DAGEGAWGWEG">BlankMacro1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2">#REF!</definedName>
    <definedName name="Date_Bidding">#REF!</definedName>
    <definedName name="DD">#REF!</definedName>
    <definedName name="dddd" localSheetId="0">BlankMacro1</definedName>
    <definedName name="dddd">BlankMacro1</definedName>
    <definedName name="dddddaa">#REF!</definedName>
    <definedName name="delete1">[6]퇴직영수증!$G$9:$H$11,[6]퇴직영수증!$L$9,[6]퇴직영수증!$L$10,[6]퇴직영수증!$L$11,[6]퇴직영수증!$P$9,[6]퇴직영수증!$P$11,[6]퇴직영수증!$P$12,[6]퇴직영수증!$G$15:$M$16,[6]퇴직영수증!$K$14:$M$14,[6]퇴직영수증!$F$19:$I$19,[6]퇴직영수증!$L$19:$N$19,[6]퇴직영수증!$O$19:$Q$19,[6]퇴직영수증!$H$21:$H$24,[6]퇴직영수증!$L$21:$L$24,[6]퇴직영수증!$G$27:$L$29,[6]퇴직영수증!$O$24,[6]퇴직영수증!$O$26,[6]퇴직영수증!$O$27,[6]퇴직영수증!$N$29,[6]퇴직영수증!$N$14:$Q$17,[6]퇴직영수증!$K$17:$M$17</definedName>
    <definedName name="delta2">#REF!,#REF!,#REF!,#REF!,#REF!,#REF!,#REF!,#REF!</definedName>
    <definedName name="DescKR">#REF!</definedName>
    <definedName name="DESCRIPTIONS">#REF!</definedName>
    <definedName name="DESIGN_FLOW_CAPACITY">#REF!</definedName>
    <definedName name="DESIGN_PRESSURE">#REF!</definedName>
    <definedName name="DESIGN_SAFETY_FACTOR">#REF!</definedName>
    <definedName name="dfasdfas">#REF!</definedName>
    <definedName name="dfddf">#REF!</definedName>
    <definedName name="dfdfdf">#REF!</definedName>
    <definedName name="dfgdfg" localSheetId="0">BlankMacro1</definedName>
    <definedName name="dfgdfg">BlankMacro1</definedName>
    <definedName name="dggdgsg">#REF!</definedName>
    <definedName name="DH">#REF!</definedName>
    <definedName name="DHFLKAJSDLFK" localSheetId="0">BlankMacro1</definedName>
    <definedName name="DHFLKAJSDLFK">BlankMacro1</definedName>
    <definedName name="DHK">#REF!</definedName>
    <definedName name="di">#N/A</definedName>
    <definedName name="diameter">#REF!</definedName>
    <definedName name="diaphragm">#REF!</definedName>
    <definedName name="dkfjk" localSheetId="0">BlankMacro1</definedName>
    <definedName name="dkfjk">BlankMacro1</definedName>
    <definedName name="DL">#REF!</definedName>
    <definedName name="DLEHD">#REF!</definedName>
    <definedName name="DLF">#REF!</definedName>
    <definedName name="do">#REF!</definedName>
    <definedName name="Document_array">{"Book1","예술의전당.xls"}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rain_trap">#REF!</definedName>
    <definedName name="DSA">#REF!</definedName>
    <definedName name="DSFDSFSD">#N/A</definedName>
    <definedName name="DSFEDSF">#N/A</definedName>
    <definedName name="DSFSDFG">#REF!</definedName>
    <definedName name="DSFSFSDAFDS">#N/A</definedName>
    <definedName name="DSTI">#N/A</definedName>
    <definedName name="dual_plate_check">#REF!</definedName>
    <definedName name="DUCT_GONG">#REF!</definedName>
    <definedName name="duplex_strainer">#REF!</definedName>
    <definedName name="DW9_">#N/A</definedName>
    <definedName name="DX코일">#N/A</definedName>
    <definedName name="E">"EP-S"</definedName>
    <definedName name="E_DES">#REF!</definedName>
    <definedName name="E_WON">#REF!</definedName>
    <definedName name="Earth_p60">#REF!</definedName>
    <definedName name="Earth_p70">#REF!</definedName>
    <definedName name="Earth_p90">#REF!</definedName>
    <definedName name="EE">#REF!</definedName>
    <definedName name="eee">#REF!,#REF!,#REF!,#REF!,#REF!,#REF!,#REF!,#REF!,#REF!</definedName>
    <definedName name="eeee">#REF!</definedName>
    <definedName name="EL_FILTER">#REF!</definedName>
    <definedName name="EO">#REF!</definedName>
    <definedName name="EOL">#REF!</definedName>
    <definedName name="EQMOB">#REF!</definedName>
    <definedName name="equip">#REF!</definedName>
    <definedName name="er">#REF!</definedName>
    <definedName name="ex_joint">#REF!</definedName>
    <definedName name="Exca_unitprice">#REF!</definedName>
    <definedName name="Exca_unitprice_h">#REF!</definedName>
    <definedName name="Exca_unitprice_u">#REF!</definedName>
    <definedName name="Exchange_Rate">#REF!</definedName>
    <definedName name="_xlnm.Extract">#REF!</definedName>
    <definedName name="f">#N/A</definedName>
    <definedName name="F_CODE">#N/A</definedName>
    <definedName name="F_EQ">#N/A</definedName>
    <definedName name="F_EQ0">#N/A</definedName>
    <definedName name="F_FORM">#N/A</definedName>
    <definedName name="F_INT1">#N/A</definedName>
    <definedName name="F_LA">#N/A</definedName>
    <definedName name="F_LA0">#N/A</definedName>
    <definedName name="F_MA">#N/A</definedName>
    <definedName name="F_MA0">#N/A</definedName>
    <definedName name="F_MEMO">#N/A</definedName>
    <definedName name="F_QVAL">#N/A</definedName>
    <definedName name="F_SEQ">#N/A</definedName>
    <definedName name="F_SOS">#N/A</definedName>
    <definedName name="F_TQTY">#N/A</definedName>
    <definedName name="factor1">#REF!</definedName>
    <definedName name="FC">#N/A</definedName>
    <definedName name="FCST">#REF!</definedName>
    <definedName name="FDGS\" localSheetId="0">BlankMacro1</definedName>
    <definedName name="FDGS\">BlankMacro1</definedName>
    <definedName name="fdskasdfkl">#N/A</definedName>
    <definedName name="FF">#REF!</definedName>
    <definedName name="FFF">#REF!</definedName>
    <definedName name="FG">#REF!</definedName>
    <definedName name="FGGG">#REF!</definedName>
    <definedName name="File_Name" localSheetId="0">OFFSET([0]!START,0,0,1,1)</definedName>
    <definedName name="File_Name">OFFSET([0]!START,0,0,1,1)</definedName>
    <definedName name="FLG">#REF!</definedName>
    <definedName name="FLG_Orifice">#REF!</definedName>
    <definedName name="Footer">#REF!</definedName>
    <definedName name="Form">#REF!</definedName>
    <definedName name="Form_support">#REF!</definedName>
    <definedName name="Form_unitp">#REF!</definedName>
    <definedName name="Form_unitp_h">#REF!</definedName>
    <definedName name="Form_unitph">#REF!</definedName>
    <definedName name="Form_unitprice">#REF!</definedName>
    <definedName name="Form_unitprice_h">#REF!</definedName>
    <definedName name="Form_up_h">#REF!</definedName>
    <definedName name="From_support">#REF!</definedName>
    <definedName name="FSDFSDFDSFDSF">#N/A</definedName>
    <definedName name="G">"MB-G"</definedName>
    <definedName name="gate">#REF!</definedName>
    <definedName name="gdfdfgdfg">#REF!</definedName>
    <definedName name="gdfgdf" localSheetId="0">BlankMacro1</definedName>
    <definedName name="gdfgdf">BlankMacro1</definedName>
    <definedName name="gfhfh" localSheetId="0">BlankMacro1</definedName>
    <definedName name="gfhfh">BlankMacro1</definedName>
    <definedName name="GG">#REF!</definedName>
    <definedName name="GGG">#REF!</definedName>
    <definedName name="gjgus" localSheetId="0">OFFSET('방재팀 (2026)'!File_Name,0,3,1,1)</definedName>
    <definedName name="gjgus">OFFSET([0]!File_Name,0,3,1,1)</definedName>
    <definedName name="globe">#REF!</definedName>
    <definedName name="Gﾃﾞｰﾀ">#N/A</definedName>
    <definedName name="H">"MB-H"</definedName>
    <definedName name="H_300">#REF!</definedName>
    <definedName name="H_350">#REF!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">#REF!</definedName>
    <definedName name="hh">#REF!</definedName>
    <definedName name="HHH" localSheetId="0">BlankMacro1</definedName>
    <definedName name="HHH">BlankMacro1</definedName>
    <definedName name="HI_전선관">#REF!</definedName>
    <definedName name="HO">#REF!</definedName>
    <definedName name="HOOKUP">#REF!</definedName>
    <definedName name="HOUR">#REF!</definedName>
    <definedName name="HTML_CodePage" hidden="1">949</definedName>
    <definedName name="HTML_Control" hidden="1">{"'2분기예산별'!$B$2:$O$38"}</definedName>
    <definedName name="HTML_Description" hidden="1">""</definedName>
    <definedName name="HTML_Email" hidden="1">""</definedName>
    <definedName name="HTML_Header" hidden="1">"2분기예산별"</definedName>
    <definedName name="HTML_LastUpdate" hidden="1">"98-07-14"</definedName>
    <definedName name="HTML_LineAfter" hidden="1">FALSE</definedName>
    <definedName name="HTML_LineBefore" hidden="1">FALSE</definedName>
    <definedName name="HTML_Name" hidden="1">"신공항"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"6월data"</definedName>
    <definedName name="HYUNDAI">#REF!</definedName>
    <definedName name="I">#N/A</definedName>
    <definedName name="IBLOCK">#REF!</definedName>
    <definedName name="ICOUNT">#REF!</definedName>
    <definedName name="IL">#REF!</definedName>
    <definedName name="Inc.Tax_Korean">#REF!</definedName>
    <definedName name="Inc.Tax_Local.Reg">#REF!</definedName>
    <definedName name="Inc.Tax_Third.N">#REF!</definedName>
    <definedName name="INDEX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WON">#REF!</definedName>
    <definedName name="IROW">#REF!</definedName>
    <definedName name="JB">#REF!</definedName>
    <definedName name="JUNC_BOX">#REF!</definedName>
    <definedName name="k">#REF!</definedName>
    <definedName name="key" hidden="1">#REF!</definedName>
    <definedName name="KFJG">#REF!</definedName>
    <definedName name="KK">#REF!</definedName>
    <definedName name="KSM">#REF!</definedName>
    <definedName name="L">"LORRY"</definedName>
    <definedName name="Labor_Cost">#REF!</definedName>
    <definedName name="Langue">#REF!</definedName>
    <definedName name="LAST">#REF!</definedName>
    <definedName name="Last_Date_Of_Revision" localSheetId="0">OFFSET('방재팀 (2026)'!File_Name,0,4,1,1)</definedName>
    <definedName name="Last_Date_Of_Revision">OFFSET([0]!File_Name,0,4,1,1)</definedName>
    <definedName name="Last_M">'[5]Com-Button'!$F$2</definedName>
    <definedName name="LBLOCK">#REF!</definedName>
    <definedName name="LCOLM">#REF!</definedName>
    <definedName name="LCOUNT">#REF!</definedName>
    <definedName name="LINE1">#REF!</definedName>
    <definedName name="Links" localSheetId="0">OFFSET('방재팀 (2026)'!File_Name,0,4,1,1)</definedName>
    <definedName name="Links">OFFSET([0]!File_Name,0,4,1,1)</definedName>
    <definedName name="LIST">#REF!</definedName>
    <definedName name="LIST1">#REF!</definedName>
    <definedName name="lk">#REF!</definedName>
    <definedName name="ll">#REF!</definedName>
    <definedName name="LLL">#REF!</definedName>
    <definedName name="LLLL">#REF!</definedName>
    <definedName name="LOAD">#REF!,#REF!,#REF!,#REF!,#REF!,#REF!,#REF!,#REF!,#REF!,#REF!,#REF!,#REF!</definedName>
    <definedName name="lunch">#REF!</definedName>
    <definedName name="Macro1">#N/A</definedName>
    <definedName name="Macro2">#N/A</definedName>
    <definedName name="Macro3">#N/A</definedName>
    <definedName name="MACRO33">#N/A</definedName>
    <definedName name="Macro4">#N/A</definedName>
    <definedName name="Macro5">#N/A</definedName>
    <definedName name="MAIN１">#N/A</definedName>
    <definedName name="MBI">#REF!</definedName>
    <definedName name="MCP">#REF!</definedName>
    <definedName name="mm">#REF!</definedName>
    <definedName name="MM_Korean">#REF!</definedName>
    <definedName name="MM_Local.Reg">#REF!</definedName>
    <definedName name="MM_Third.Nation">#REF!</definedName>
    <definedName name="MMM">#REF!</definedName>
    <definedName name="MOTOR__농형_전폐">#REF!</definedName>
    <definedName name="MPMOB">#REF!</definedName>
    <definedName name="MS검사구">#REF!</definedName>
    <definedName name="MW">#REF!</definedName>
    <definedName name="M행">#REF!</definedName>
    <definedName name="N">#N/A</definedName>
    <definedName name="name">#REF!</definedName>
    <definedName name="needle">#REF!</definedName>
    <definedName name="NET">#REF!</definedName>
    <definedName name="NIPP">#REF!</definedName>
    <definedName name="NNN">#REF!</definedName>
    <definedName name="NO">#N/A</definedName>
    <definedName name="NOMU">#REF!</definedName>
    <definedName name="Number_Of_Sheets" localSheetId="0">OFFSET('방재팀 (2026)'!File_Name,0,1,1,1)</definedName>
    <definedName name="Number_Of_Sheets">OFFSET([0]!File_Name,0,1,1,1)</definedName>
    <definedName name="O">#REF!</definedName>
    <definedName name="OF대형">#REF!</definedName>
    <definedName name="OF팀자료2" localSheetId="0">BlankMacro1</definedName>
    <definedName name="OF팀자료2">BlankMacro1</definedName>
    <definedName name="OOO">#REF!</definedName>
    <definedName name="OPERATING_FLOW_CAPACITY">#REF!</definedName>
    <definedName name="Other" localSheetId="0">OFFSET('방재팀 (2026)'!File_Name,0,6,1,1)</definedName>
    <definedName name="Other">OFFSET([0]!File_Name,0,6,1,1)</definedName>
    <definedName name="Out_of_Scope">#REF!</definedName>
    <definedName name="O행">#REF!</definedName>
    <definedName name="P">#REF!</definedName>
    <definedName name="p01.Sources_Uses">#REF!</definedName>
    <definedName name="p03.Income_Statement">#REF!</definedName>
    <definedName name="p05.Debt_Repayment">#REF!</definedName>
    <definedName name="p06.Capital_Structure">#REF!</definedName>
    <definedName name="p07.Ratio_Analysis">#REF!</definedName>
    <definedName name="p10.Inc_Stmt_Assumptions">#REF!</definedName>
    <definedName name="p18.WeightedAvgCost">#REF!</definedName>
    <definedName name="Pad_1">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C_Pile">#REF!</definedName>
    <definedName name="Period_Const">#REF!</definedName>
    <definedName name="Period_Excav">#REF!</definedName>
    <definedName name="Period_Struc">#REF!</definedName>
    <definedName name="pfdka">#REF!</definedName>
    <definedName name="PH">#N/A</definedName>
    <definedName name="picture1">#REF!</definedName>
    <definedName name="Pile_cut">#REF!</definedName>
    <definedName name="Pile_Driving">#REF!</definedName>
    <definedName name="PILE_LENG">#REF!</definedName>
    <definedName name="PILE_TYPE">#REF!</definedName>
    <definedName name="PIPE">#REF!</definedName>
    <definedName name="PL_SEC40" localSheetId="0">BlankMacro1</definedName>
    <definedName name="PL_SEC40">BlankMacro1</definedName>
    <definedName name="PL3_직원">#N/A</definedName>
    <definedName name="PLANT_JE_GWAN_GONG">#REF!</definedName>
    <definedName name="plt">#REF!</definedName>
    <definedName name="pltt">#REF!</definedName>
    <definedName name="PLUG">#REF!</definedName>
    <definedName name="pnl">#REF!</definedName>
    <definedName name="po">#REF!</definedName>
    <definedName name="pound">#REF!</definedName>
    <definedName name="PP">#REF!</definedName>
    <definedName name="PPP">#REF!</definedName>
    <definedName name="PREPLY">#REF!</definedName>
    <definedName name="PREST">#REF!</definedName>
    <definedName name="Price_Acoust._Ceil">#REF!</definedName>
    <definedName name="Price_Block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>#REF!</definedName>
    <definedName name="Price_Wd.Door_S">#REF!</definedName>
    <definedName name="_xlnm.Print_Area">[1]총원부!$B$1:$O$155</definedName>
    <definedName name="Print_Area_MI">#REF!</definedName>
    <definedName name="PRINT_AREA_MI1">#REF!</definedName>
    <definedName name="PRINT_TITLE">#REF!</definedName>
    <definedName name="PRINT_TITLES_MI">#REF!</definedName>
    <definedName name="PRINT_TITLES_MI1">#REF!</definedName>
    <definedName name="PrintArea">#REF!</definedName>
    <definedName name="PRINTSUB">#REF!</definedName>
    <definedName name="PS">#REF!</definedName>
    <definedName name="psychro_hdbrh">#N/A</definedName>
    <definedName name="PVA">#REF!</definedName>
    <definedName name="P행">#REF!</definedName>
    <definedName name="q1u">#REF!</definedName>
    <definedName name="QAAAA">#N/A</definedName>
    <definedName name="QC" localSheetId="0">BlankMacro1</definedName>
    <definedName name="QC">BlankMacro1</definedName>
    <definedName name="qq">#REF!</definedName>
    <definedName name="QQQ">#REF!</definedName>
    <definedName name="QQQQ">#REF!</definedName>
    <definedName name="qqqqqqqq">#REF!</definedName>
    <definedName name="QTY">#N/A</definedName>
    <definedName name="Qty_Ceiling">#REF!</definedName>
    <definedName name="Qty_Conc">#REF!</definedName>
    <definedName name="Qty_Door.Window">#REF!</definedName>
    <definedName name="Qty_Excavation">#REF!</definedName>
    <definedName name="Qty_Form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Q행">#REF!</definedName>
    <definedName name="RATE">#REF!</definedName>
    <definedName name="RE_SIZE">#REF!</definedName>
    <definedName name="Rebar">#REF!</definedName>
    <definedName name="Rebar_unitprice">#REF!</definedName>
    <definedName name="Recoad7">#N/A</definedName>
    <definedName name="Record3">#N/A</definedName>
    <definedName name="Record5">#N/A</definedName>
    <definedName name="_xlnm.Recorder">#REF!</definedName>
    <definedName name="RED">#REF!</definedName>
    <definedName name="REG_RR_DR_PWR_WDW_LH">#REF!</definedName>
    <definedName name="RESULT2">#REF!,#REF!,#REF!,#REF!</definedName>
    <definedName name="RESULT3">#REF!,#REF!,#REF!,#REF!,#REF!</definedName>
    <definedName name="RESULT4">#REF!,#REF!,#REF!,#REF!</definedName>
    <definedName name="RETIRE">#REF!</definedName>
    <definedName name="Rform_unitprice">#REF!</definedName>
    <definedName name="rl">#REF!</definedName>
    <definedName name="rlacodyd" localSheetId="0">OFFSET('방재팀 (2026)'!File_Name,0,1,1,1)</definedName>
    <definedName name="rlacodyd">OFFSET([0]!File_Name,0,1,1,1)</definedName>
    <definedName name="RNR">#REF!</definedName>
    <definedName name="RR">#REF!</definedName>
    <definedName name="rrpnl">#REF!</definedName>
    <definedName name="rt">[7]근로소득세2001!#REF!</definedName>
    <definedName name="RTR">#N/A</definedName>
    <definedName name="R행">#REF!</definedName>
    <definedName name="S">"MB-S"</definedName>
    <definedName name="S_1">#N/A</definedName>
    <definedName name="SAFDSFSDFSDFSDF">#N/A</definedName>
    <definedName name="Sal.Escal_Korean">#REF!</definedName>
    <definedName name="Sal.Escal_Local.Reg">#REF!</definedName>
    <definedName name="Sal.Escal_Third.N">#REF!</definedName>
    <definedName name="Salary_Korean">#REF!</definedName>
    <definedName name="Salary_Local.Reg">#REF!</definedName>
    <definedName name="Salary_Third.N">#REF!</definedName>
    <definedName name="sarsda">#REF!</definedName>
    <definedName name="Scaling">[4]Assumptions!$B$15</definedName>
    <definedName name="SDDDDDD">#N/A</definedName>
    <definedName name="SDFG">#REF!</definedName>
    <definedName name="SDFSDF">#N/A</definedName>
    <definedName name="SDFSDF2">#N/A</definedName>
    <definedName name="SDFSDFDSF">#N/A</definedName>
    <definedName name="SE\">#REF!</definedName>
    <definedName name="set_out">#REF!</definedName>
    <definedName name="Sheet_Size" localSheetId="0">OFFSET('방재팀 (2026)'!File_Name,0,3,1,1)</definedName>
    <definedName name="Sheet_Size">OFFSET([0]!File_Name,0,3,1,1)</definedName>
    <definedName name="sheet3">#REF!</definedName>
    <definedName name="SIZE">#REF!</definedName>
    <definedName name="SIZEC">#REF!</definedName>
    <definedName name="SK">#REF!</definedName>
    <definedName name="SL2C">#REF!</definedName>
    <definedName name="SL2CD">#REF!</definedName>
    <definedName name="SL2D">#REF!</definedName>
    <definedName name="SL3D">#REF!</definedName>
    <definedName name="SL3G">#REF!</definedName>
    <definedName name="SL4M">#REF!</definedName>
    <definedName name="Slab_Connect">#REF!</definedName>
    <definedName name="SMLTOOLS">#REF!</definedName>
    <definedName name="Soil_Ba_Unitprice">#REF!</definedName>
    <definedName name="Soil_Ba_Unitprice_h">#REF!</definedName>
    <definedName name="Soil_Ba_Unitprice_u">#REF!</definedName>
    <definedName name="Soil_dis_unitprice">#REF!</definedName>
    <definedName name="Soil_dis_unitprice_h">#REF!</definedName>
    <definedName name="Soil_dis_unitprice_u">#REF!</definedName>
    <definedName name="SOL">#REF!</definedName>
    <definedName name="SORTCODE">#N/A</definedName>
    <definedName name="SS">#REF!</definedName>
    <definedName name="SSS">#REF!</definedName>
    <definedName name="ssss">#REF!</definedName>
    <definedName name="SSSSSS">#N/A</definedName>
    <definedName name="steam_trap">#REF!</definedName>
    <definedName name="STI">#REF!</definedName>
    <definedName name="Story_Basement">#REF!</definedName>
    <definedName name="Story_Podium">#REF!</definedName>
    <definedName name="Story_Total">#REF!</definedName>
    <definedName name="Story_Tower">#REF!</definedName>
    <definedName name="Struct_Type">#REF!</definedName>
    <definedName name="SUB">#REF!</definedName>
    <definedName name="SUBPCB">#REF!</definedName>
    <definedName name="SUM">#REF!</definedName>
    <definedName name="SUMARY">#REF!</definedName>
    <definedName name="summary">#REF!</definedName>
    <definedName name="SUMMARYT" hidden="1">#REF!</definedName>
    <definedName name="SURATE">#REF!</definedName>
    <definedName name="S행">#REF!</definedName>
    <definedName name="T" localSheetId="0">OFFSET([0]!START,0,0,1,1)</definedName>
    <definedName name="T">OFFSET([0]!START,0,0,1,1)</definedName>
    <definedName name="T1_">#REF!</definedName>
    <definedName name="TEE">#REF!</definedName>
    <definedName name="temp_strainer">#REF!</definedName>
    <definedName name="TEMPERATURE_OF_GAS">#REF!</definedName>
    <definedName name="test">#REF!</definedName>
    <definedName name="TEST0">#REF!</definedName>
    <definedName name="TEST12">#REF!</definedName>
    <definedName name="TEST13">#REF!</definedName>
    <definedName name="TEST14">#REF!</definedName>
    <definedName name="TEST19">#REF!</definedName>
    <definedName name="TESTHKEY">#REF!</definedName>
    <definedName name="TESTKEYS">#REF!</definedName>
    <definedName name="TESTVKEY">#REF!</definedName>
    <definedName name="tets8">#REF!</definedName>
    <definedName name="THK">#REF!</definedName>
    <definedName name="TIP">#REF!</definedName>
    <definedName name="TIT">#REF!</definedName>
    <definedName name="TITLE1">#REF!</definedName>
    <definedName name="TL">#N/A</definedName>
    <definedName name="to">#REF!</definedName>
    <definedName name="TOL">#REF!</definedName>
    <definedName name="TOP">#REF!</definedName>
    <definedName name="Tot.Cost_SiteExp">#REF!</definedName>
    <definedName name="Tot.Cost_TempWk">#REF!</definedName>
    <definedName name="TOTAL">#N/A</definedName>
    <definedName name="Total_Floor_Area">#REF!</definedName>
    <definedName name="toto">#REF!</definedName>
    <definedName name="tower">#REF!</definedName>
    <definedName name="TR" localSheetId="0">BlankMacro1</definedName>
    <definedName name="TR">BlankMacro1</definedName>
    <definedName name="TRANSACTIONCOST">#REF!</definedName>
    <definedName name="TREE">#REF!</definedName>
    <definedName name="TT">#REF!</definedName>
    <definedName name="ttt">#REF!</definedName>
    <definedName name="T행">#REF!</definedName>
    <definedName name="u">#REF!</definedName>
    <definedName name="ul">#REF!</definedName>
    <definedName name="UMC">#REF!</definedName>
    <definedName name="UNION">#REF!</definedName>
    <definedName name="UNLOAD">#REF!,#REF!,#REF!,#REF!,#REF!,#REF!,#REF!,#REF!,#REF!,#REF!</definedName>
    <definedName name="US">#REF!</definedName>
    <definedName name="uu">#REF!</definedName>
    <definedName name="UUU">#REF!</definedName>
    <definedName name="U행">#REF!</definedName>
    <definedName name="V" localSheetId="0">OFFSET('방재팀 (2026)'!T,0,4,1,1)</definedName>
    <definedName name="V">OFFSET([0]!T,0,4,1,1)</definedName>
    <definedName name="V.E금액1">#REF!</definedName>
    <definedName name="V_P_AnlyStatus_OneCOA_XLS_Qry1_Temp">#REF!</definedName>
    <definedName name="VACATION">#REF!</definedName>
    <definedName name="VMB3MCAP">#REF!</definedName>
    <definedName name="VMB3MELBOW">#REF!</definedName>
    <definedName name="VMB3MTEE">#REF!</definedName>
    <definedName name="VMB3MVALVE">#REF!</definedName>
    <definedName name="VMB3RED">#REF!</definedName>
    <definedName name="VMB3SCAP">#REF!</definedName>
    <definedName name="VMB3SELBOW">#REF!</definedName>
    <definedName name="VMB3STEE">#REF!</definedName>
    <definedName name="VMB3SVALVE">#REF!</definedName>
    <definedName name="VMB4MCAP">#REF!</definedName>
    <definedName name="VMB4MELBOW">#REF!</definedName>
    <definedName name="VMB4MTEE">#REF!</definedName>
    <definedName name="VMB4MVALVE">#REF!</definedName>
    <definedName name="VMB4RED">#REF!</definedName>
    <definedName name="VMB4SCAP">#REF!</definedName>
    <definedName name="VMB4SELBOW">#REF!</definedName>
    <definedName name="VMB4STEE">#REF!</definedName>
    <definedName name="VMB4SVALVE">#REF!</definedName>
    <definedName name="VV">#REF!</definedName>
    <definedName name="VVV">#REF!</definedName>
    <definedName name="V행">#REF!</definedName>
    <definedName name="W">#REF!</definedName>
    <definedName name="W15_">#N/A</definedName>
    <definedName name="W3_">#N/A</definedName>
    <definedName name="W6_">#N/A</definedName>
    <definedName name="WALL_FIN">#REF!</definedName>
    <definedName name="WASDASD">#N/A</definedName>
    <definedName name="WE">#REF!</definedName>
    <definedName name="WELD">#REF!</definedName>
    <definedName name="WERWER">#N/A</definedName>
    <definedName name="WET_원료구매">#REF!</definedName>
    <definedName name="WEWEW" localSheetId="0">BlankMacro1</definedName>
    <definedName name="WEWEW">BlankMacro1</definedName>
    <definedName name="WEWW">#N/A</definedName>
    <definedName name="WIND1_H">#REF!</definedName>
    <definedName name="WIND1_W">#REF!</definedName>
    <definedName name="WIND2_H">#REF!</definedName>
    <definedName name="WIND2_W">#REF!</definedName>
    <definedName name="WOL">#REF!</definedName>
    <definedName name="Work_Description">#REF!</definedName>
    <definedName name="WSSS">#N/A</definedName>
    <definedName name="ww">#REF!</definedName>
    <definedName name="WWDWDS" localSheetId="0">BlankMacro1</definedName>
    <definedName name="WWDWDS">BlankMacro1</definedName>
    <definedName name="WWW">#REF!</definedName>
    <definedName name="WWWW">#N/A</definedName>
    <definedName name="W행">#REF!</definedName>
    <definedName name="X" localSheetId="0">BlankMacro1</definedName>
    <definedName name="X">BlankMacro1</definedName>
    <definedName name="X4월자금_Sheet8_List">#REF!</definedName>
    <definedName name="XCZDC" localSheetId="0">BlankMacro1</definedName>
    <definedName name="XCZDC">BlankMacro1</definedName>
    <definedName name="XSCSD" localSheetId="0">BlankMacro1</definedName>
    <definedName name="XSCSD">BlankMacro1</definedName>
    <definedName name="xx">#REF!</definedName>
    <definedName name="XXX">#REF!</definedName>
    <definedName name="X행">#REF!</definedName>
    <definedName name="Y">#REF!</definedName>
    <definedName name="y_strainer">#REF!</definedName>
    <definedName name="YEN">#REF!</definedName>
    <definedName name="yes">#N/A</definedName>
    <definedName name="YHKIM">#N/A</definedName>
    <definedName name="yn">#REF!</definedName>
    <definedName name="ys">#REF!</definedName>
    <definedName name="YU">#N/A</definedName>
    <definedName name="yy">#REF!</definedName>
    <definedName name="Z">#N/A</definedName>
    <definedName name="z\">#REF!</definedName>
    <definedName name="ZAAAAAAAA">#N/A</definedName>
    <definedName name="ZZ">#REF!</definedName>
    <definedName name="ZZR82040B_TOTAL">#REF!</definedName>
    <definedName name="ZZZ">#REF!</definedName>
    <definedName name="ZZZC">#REF!</definedName>
    <definedName name="π">PI()</definedName>
    <definedName name="ｱﾄﾞｵﾝ">#REF!</definedName>
    <definedName name="ﾏｸﾛ">#REF!</definedName>
    <definedName name="ㄱ">#N/A</definedName>
    <definedName name="ㄱㄱㄱㄱㄱ" localSheetId="0">BlankMacro1</definedName>
    <definedName name="ㄱㄱㄱㄱㄱ">BlankMacro1</definedName>
    <definedName name="ㄱㅇㅇ">#N/A</definedName>
    <definedName name="가가가" localSheetId="0">BlankMacro1</definedName>
    <definedName name="가가가">BlankMacro1</definedName>
    <definedName name="가라">#REF!</definedName>
    <definedName name="가야지가야지" localSheetId="0">BlankMacro1</definedName>
    <definedName name="가야지가야지">BlankMacro1</definedName>
    <definedName name="감가" localSheetId="0">BlankMacro1</definedName>
    <definedName name="감가">BlankMacro1</definedName>
    <definedName name="감가상각" localSheetId="0">BlankMacro1</definedName>
    <definedName name="감가상각">BlankMacro1</definedName>
    <definedName name="갑03">#REF!</definedName>
    <definedName name="갑지" localSheetId="0">BlankMacro1</definedName>
    <definedName name="갑지">BlankMacro1</definedName>
    <definedName name="강_________릉">#REF!</definedName>
    <definedName name="개정세율">#REF!</definedName>
    <definedName name="개정세율2002">#REF!</definedName>
    <definedName name="개정세율2005">#REF!</definedName>
    <definedName name="객실__팀장">#REF!</definedName>
    <definedName name="객실관리11월">#REF!</definedName>
    <definedName name="검" localSheetId="0">BlankMacro1</definedName>
    <definedName name="검">BlankMacro1</definedName>
    <definedName name="검품공정2" localSheetId="0">BlankMacro1</definedName>
    <definedName name="검품공정2">BlankMacro1</definedName>
    <definedName name="검회" localSheetId="0">BlankMacro1</definedName>
    <definedName name="검회">BlankMacro1</definedName>
    <definedName name="견적조건">#REF!</definedName>
    <definedName name="결정계">[6]근로영수증!$BY$27</definedName>
    <definedName name="결정근로">[6]근로영수증!$BH$27</definedName>
    <definedName name="결정세액">[6]퇴직영수증!$L$24</definedName>
    <definedName name="결정주민">[6]근로영수증!$BT$27</definedName>
    <definedName name="경로우대">[6]근로영수증!$R$27</definedName>
    <definedName name="경로우대수">[6]근로영수증!$O$27</definedName>
    <definedName name="경리">#N/A</definedName>
    <definedName name="경수을">#REF!,#REF!,#REF!,#REF!</definedName>
    <definedName name="경정청구용">#REF!</definedName>
    <definedName name="계">[6]퇴직영수증!$P$14</definedName>
    <definedName name="계약">[8]Format!$A$2:$F$488</definedName>
    <definedName name="계전2" hidden="1">#REF!</definedName>
    <definedName name="계획율">#REF!</definedName>
    <definedName name="顧客">#REF!</definedName>
    <definedName name="공1">#REF!</definedName>
    <definedName name="공벙별부하율">#REF!</definedName>
    <definedName name="공사명">#REF!</definedName>
    <definedName name="공일">#REF!</definedName>
    <definedName name="공장도">#REF!</definedName>
    <definedName name="공장도1">#REF!</definedName>
    <definedName name="공정_Loss">#REF!</definedName>
    <definedName name="공정별부하율" localSheetId="0">BlankMacro1</definedName>
    <definedName name="공정별부하율">BlankMacro1</definedName>
    <definedName name="공정별부하율_1">#N/A</definedName>
    <definedName name="공정불량">#REF!</definedName>
    <definedName name="공정불량2">#REF!</definedName>
    <definedName name="공조할">#REF!</definedName>
    <definedName name="공통가설" hidden="1">#REF!</definedName>
    <definedName name="공해다">#REF!</definedName>
    <definedName name="공혈">#REF!</definedName>
    <definedName name="공혈문제견본">#REF!</definedName>
    <definedName name="과수">#REF!</definedName>
    <definedName name="관___악___산">#REF!</definedName>
    <definedName name="관리연구개발">#REF!</definedName>
    <definedName name="관리이사" localSheetId="0">BlankMacro1</definedName>
    <definedName name="관리이사">BlankMacro1</definedName>
    <definedName name="관세할">#REF!</definedName>
    <definedName name="광_________주">#REF!</definedName>
    <definedName name="교육">#N/A</definedName>
    <definedName name="교육비">[6]근로영수증!$R$37</definedName>
    <definedName name="교육예산">#N/A</definedName>
    <definedName name="구">#REF!</definedName>
    <definedName name="국민연금" localSheetId="0">OFFSET([0]!START,0,0,1,1)</definedName>
    <definedName name="국민연금">OFFSET([0]!START,0,0,1,1)</definedName>
    <definedName name="군_________산">#REF!</definedName>
    <definedName name="그래프">#REF!</definedName>
    <definedName name="근로">[9]근로영수증!$R$24</definedName>
    <definedName name="근로산출세액">[6]근로영수증!$AN$28</definedName>
    <definedName name="근로성명">[6]근로영수증!$M$12</definedName>
    <definedName name="근로소득">[6]근로영수증!$R$21</definedName>
    <definedName name="근로소득공제">[6]근로영수증!$R$22</definedName>
    <definedName name="근로소득금액">[6]근로영수증!$R$23</definedName>
    <definedName name="근로소득세액">[6]근로영수증!$AN$29</definedName>
    <definedName name="근로입사">[6]근로영수증!$BS$10</definedName>
    <definedName name="근로주소">[6]근로영수증!$M$13</definedName>
    <definedName name="근로퇴사">[6]근로영수증!$BS$11</definedName>
    <definedName name="근무인원">[10]근무자명단!$A$1:$BA$65536</definedName>
    <definedName name="근무자">[11]기본!$A$1:$P$297</definedName>
    <definedName name="근속연수">[6]퇴직영수증!$Q$19</definedName>
    <definedName name="근속월수">[6]퇴직영수증!$I$19</definedName>
    <definedName name="급여계">[6]근로영수증!$AH$19</definedName>
    <definedName name="기">#REF!</definedName>
    <definedName name="기계">#REF!</definedName>
    <definedName name="기계1">#REF!</definedName>
    <definedName name="기계설치공">#REF!</definedName>
    <definedName name="기계설치공__플랜트">#REF!</definedName>
    <definedName name="기계할">#REF!</definedName>
    <definedName name="기능" localSheetId="0">BlankMacro1</definedName>
    <definedName name="기능">BlankMacro1</definedName>
    <definedName name="기능재료_세부조직">#N/A</definedName>
    <definedName name="기말재고">#REF!</definedName>
    <definedName name="기본세율">[12]사업소득자세수추계!$A$58:$B$61</definedName>
    <definedName name="기부금">[6]근로영수증!$R$41</definedName>
    <definedName name="기안">#REF!</definedName>
    <definedName name="기안3">#REF!</definedName>
    <definedName name="기안갑">#REF!</definedName>
    <definedName name="기안용지">#REF!</definedName>
    <definedName name="기안을">#REF!</definedName>
    <definedName name="기안일자">#REF!</definedName>
    <definedName name="기안지">#REF!</definedName>
    <definedName name="기안평택">#REF!</definedName>
    <definedName name="기준일">#REF!</definedName>
    <definedName name="기타계">#REF!</definedName>
    <definedName name="기타비과세">[6]근로영수증!$BV$17</definedName>
    <definedName name="기포">#REF!</definedName>
    <definedName name="기획수정" localSheetId="0">BlankMacro1</definedName>
    <definedName name="기획수정">BlankMacro1</definedName>
    <definedName name="기흥">#REF!</definedName>
    <definedName name="기흥F">#REF!</definedName>
    <definedName name="김" localSheetId="0">OFFSET('방재팀 (2026)'!File_Name,0,4,1,1)</definedName>
    <definedName name="김">OFFSET([0]!File_Name,0,4,1,1)</definedName>
    <definedName name="김동현" localSheetId="0">BlankMacro1</definedName>
    <definedName name="김동현">BlankMacro1</definedName>
    <definedName name="김동현현" localSheetId="0">BlankMacro1</definedName>
    <definedName name="김동현현">BlankMacro1</definedName>
    <definedName name="김상렬">#REF!</definedName>
    <definedName name="김상윤">#REF!</definedName>
    <definedName name="김상윤01">#REF!</definedName>
    <definedName name="김윤호" localSheetId="0">BlankMacro1</definedName>
    <definedName name="김윤호">BlankMacro1</definedName>
    <definedName name="김재환">#REF!</definedName>
    <definedName name="김주영01">#REF!</definedName>
    <definedName name="김진철">#REF!</definedName>
    <definedName name="김진철01">#REF!</definedName>
    <definedName name="꾸">#REF!</definedName>
    <definedName name="ㄳ룧" localSheetId="0">BlankMacro1</definedName>
    <definedName name="ㄳ룧">BlankMacro1</definedName>
    <definedName name="ㄴ" localSheetId="0">BlankMacro1</definedName>
    <definedName name="ㄴ">BlankMacro1</definedName>
    <definedName name="ㄴㄴ">[13]Format!$A$2:$F$488</definedName>
    <definedName name="ㄴㄴㄴ" localSheetId="0">BlankMacro1</definedName>
    <definedName name="ㄴㄴㄴ">BlankMacro1</definedName>
    <definedName name="ㄴㄴㄴㄴㄴ" localSheetId="0">BlankMacro1</definedName>
    <definedName name="ㄴㄴㄴㄴㄴ">BlankMacro1</definedName>
    <definedName name="ㄴㄴㄴㄴㄴㄴㄴㄴㄴㄴㄴㄴㄴㄴㄴㄴㄴㄴㄴㄴㄴㄴㄴㄴㄴ">#N/A</definedName>
    <definedName name="ㄴㄹㄴㄹㄴㄴㄹ" localSheetId="0">BlankMacro1</definedName>
    <definedName name="ㄴㄹㄴㄹㄴㄴㄹ">BlankMacro1</definedName>
    <definedName name="ㄴㄹㅇ" localSheetId="0">OFFSET([0]!START,0,0,1,1)</definedName>
    <definedName name="ㄴㄹㅇ">OFFSET([0]!START,0,0,1,1)</definedName>
    <definedName name="ㄴㄹㅇㄹㅇㄹㅇ" localSheetId="0">BlankMacro1</definedName>
    <definedName name="ㄴㄹㅇㄹㅇㄹㅇ">BlankMacro1</definedName>
    <definedName name="ㄴㄹ홀ㅇ호" localSheetId="0">OFFSET('방재팀 (2026)'!File_Name,0,4,1,1)</definedName>
    <definedName name="ㄴㄹ홀ㅇ호">OFFSET([0]!File_Name,0,4,1,1)</definedName>
    <definedName name="ㄴㅁㄹㅊ" localSheetId="0">BlankMacro1</definedName>
    <definedName name="ㄴㅁㄹㅊ">BlankMacro1</definedName>
    <definedName name="ㄴㅁㅇㄻㄴㅇㄹ">#REF!</definedName>
    <definedName name="ㄴㅁㅇㅅㅀ" localSheetId="0">BlankMacro1</definedName>
    <definedName name="ㄴㅁㅇㅅㅀ">BlankMacro1</definedName>
    <definedName name="ㄴㅇ" localSheetId="0">BlankMacro1</definedName>
    <definedName name="ㄴㅇ">BlankMacro1</definedName>
    <definedName name="ㄴㅇㄴ" localSheetId="0">BlankMacro1</definedName>
    <definedName name="ㄴㅇㄴ">BlankMacro1</definedName>
    <definedName name="ㄴㅇㄹㅇㄹㅇ" localSheetId="0">BlankMacro1</definedName>
    <definedName name="ㄴㅇㄹㅇㄹㅇ">BlankMacro1</definedName>
    <definedName name="ㄴㅇㄹㅇㄹㅇㄴ" localSheetId="0">BlankMacro1</definedName>
    <definedName name="ㄴㅇㄹㅇㄹㅇㄴ">BlankMacro1</definedName>
    <definedName name="ㄴㅇㅁㄴ" localSheetId="0">OFFSET([0]!START,0,0,1,1)</definedName>
    <definedName name="ㄴㅇㅁㄴ">OFFSET([0]!START,0,0,1,1)</definedName>
    <definedName name="ㄴㅇㅇ" localSheetId="0">OFFSET('방재팀 (2026)'!ㄴㄹㅇ,0,5,1,1)</definedName>
    <definedName name="ㄴㅇㅇ">OFFSET([0]!ㄴㄹㅇ,0,5,1,1)</definedName>
    <definedName name="ㄴㅇㅊㄴㅇㅊ">#N/A</definedName>
    <definedName name="ㄴㅊㄴㅊㄴㅁ" localSheetId="0">OFFSET('방재팀 (2026)'!ㄴㅇㅁㄴ,0,4,1,1)</definedName>
    <definedName name="ㄴㅊㄴㅊㄴㅁ">OFFSET([0]!ㄴㅇㅁㄴ,0,4,1,1)</definedName>
    <definedName name="ㄴㅊㅁㅊㅌ">#N/A</definedName>
    <definedName name="나" localSheetId="0">BlankMacro1</definedName>
    <definedName name="나">BlankMacro1</definedName>
    <definedName name="나다">#REF!</definedName>
    <definedName name="나라" localSheetId="0">BlankMacro1</definedName>
    <definedName name="나라">BlankMacro1</definedName>
    <definedName name="나라마">#REF!</definedName>
    <definedName name="낟다" localSheetId="0">BlankMacro1</definedName>
    <definedName name="낟다">BlankMacro1</definedName>
    <definedName name="내선전공">#REF!</definedName>
    <definedName name="너러" localSheetId="0">BlankMacro1</definedName>
    <definedName name="너러">BlankMacro1</definedName>
    <definedName name="년간">#REF!</definedName>
    <definedName name="노임">#REF!,#REF!,#REF!,#REF!</definedName>
    <definedName name="ㄷ" localSheetId="0">BlankMacro1</definedName>
    <definedName name="ㄷ">BlankMacro1</definedName>
    <definedName name="ㄷㄷ">#REF!</definedName>
    <definedName name="ㄷㄹㄴ" localSheetId="0">OFFSET('방재팀 (2026)'!ㄴㄹㅇ,0,4,1,1)</definedName>
    <definedName name="ㄷㄹㄴ">OFFSET([0]!ㄴㄹㅇ,0,4,1,1)</definedName>
    <definedName name="ㄷㅇㄿㄴㅇ">#N/A</definedName>
    <definedName name="다" localSheetId="0">BlankMacro1</definedName>
    <definedName name="다">BlankMacro1</definedName>
    <definedName name="다라" localSheetId="0">BlankMacro1</definedName>
    <definedName name="다라">BlankMacro1</definedName>
    <definedName name="다른종합소득과세표준">[7]금융소득종합과세!#REF!</definedName>
    <definedName name="다스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가표">#REF!</definedName>
    <definedName name="단가할증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순">[3]A!#REF!</definedName>
    <definedName name="단위공량1">#REF!</definedName>
    <definedName name="단위공량10">#REF!</definedName>
    <definedName name="단위공량11">#REF!</definedName>
    <definedName name="단위공량12">#REF!</definedName>
    <definedName name="단위공량13">#REF!</definedName>
    <definedName name="단위공량14">#REF!</definedName>
    <definedName name="단위공량15">#REF!</definedName>
    <definedName name="단위공량16">#REF!</definedName>
    <definedName name="단위공량17">#REF!</definedName>
    <definedName name="단위공량2">#REF!</definedName>
    <definedName name="단위공량3">#REF!</definedName>
    <definedName name="단위공량4">#REF!</definedName>
    <definedName name="단위공량5">#REF!</definedName>
    <definedName name="단위공량6">#REF!</definedName>
    <definedName name="단위공량7">#REF!</definedName>
    <definedName name="단위공량8">#REF!</definedName>
    <definedName name="단위공량9">#REF!</definedName>
    <definedName name="單位阡원_阡￥">#REF!</definedName>
    <definedName name="달러환율">#REF!</definedName>
    <definedName name="당월_생산">#REF!</definedName>
    <definedName name="당월생산">#REF!</definedName>
    <definedName name="당일누계">#REF!</definedName>
    <definedName name="대">#REF!</definedName>
    <definedName name="대_________구">#REF!</definedName>
    <definedName name="대_________전">#REF!</definedName>
    <definedName name="대___관___령">#REF!</definedName>
    <definedName name="대포">#REF!</definedName>
    <definedName name="대표자">[6]근로영수증!$AI$10</definedName>
    <definedName name="대표자1">[6]근로영수증!$BH$40</definedName>
    <definedName name="대표자명">[6]퇴직영수증!$P$9</definedName>
    <definedName name="대표자명_성명">#REF!</definedName>
    <definedName name="대표자명1">[6]퇴직영수증!$O$27</definedName>
    <definedName name="대형">#REF!</definedName>
    <definedName name="대회">#REF!</definedName>
    <definedName name="도공원반" localSheetId="0">BlankMacro1</definedName>
    <definedName name="도공원반">BlankMacro1</definedName>
    <definedName name="도시">#REF!</definedName>
    <definedName name="돈">#REF!</definedName>
    <definedName name="돌" localSheetId="0">BlankMacro1</definedName>
    <definedName name="돌">BlankMacro1</definedName>
    <definedName name="동아4">[13]Format!$A$2:$F$488</definedName>
    <definedName name="동우">#REF!</definedName>
    <definedName name="띠장">#REF!</definedName>
    <definedName name="ㄹ67">#REF!</definedName>
    <definedName name="ㄹㄴ" localSheetId="0">OFFSET('방재팀 (2026)'!ㄴㄹㅇ,0,5,1,1)</definedName>
    <definedName name="ㄹㄴ">OFFSET([0]!ㄴㄹㅇ,0,5,1,1)</definedName>
    <definedName name="ㄹㄴㅇㄴㅇ" localSheetId="0">OFFSET('방재팀 (2026)'!ㄴㄹㅇ,0,3,1,1)</definedName>
    <definedName name="ㄹㄴㅇㄴㅇ">OFFSET([0]!ㄴㄹㅇ,0,3,1,1)</definedName>
    <definedName name="ㄹㄹ" hidden="1">#REF!</definedName>
    <definedName name="ㄹㅇㄴㄹㄴㅇ" localSheetId="0">BlankMacro1</definedName>
    <definedName name="ㄹㅇㄴㄹㄴㅇ">BlankMacro1</definedName>
    <definedName name="ㄹㅇㄴㄹㅇ">#N/A</definedName>
    <definedName name="ㄹㅇㄴㅁ" localSheetId="0">OFFSET([0]!START,0,0,1,1)</definedName>
    <definedName name="ㄹㅇㄴㅁ">OFFSET([0]!START,0,0,1,1)</definedName>
    <definedName name="ㄹㅇㄶㅁㅁ" localSheetId="0">BlankMacro1</definedName>
    <definedName name="ㄹㅇㄶㅁㅁ">BlankMacro1</definedName>
    <definedName name="ㄹㅇㄹㄴㄹㄴ">#N/A</definedName>
    <definedName name="ㄹㅇㄹㄴㄹㅇㄹ">#N/A</definedName>
    <definedName name="ㄹㅇㄹㄴㅇㄹ" localSheetId="0">BlankMacro1</definedName>
    <definedName name="ㄹㅇㄹㄴㅇㄹ">BlankMacro1</definedName>
    <definedName name="ㄹㅇㄹㄴㅇㄹㅇㄴㄹ" localSheetId="0">OFFSET([0]!START,0,0,1,1)</definedName>
    <definedName name="ㄹㅇㄹㄴㅇㄹㅇㄴㄹ">OFFSET([0]!START,0,0,1,1)</definedName>
    <definedName name="ㄹㅇㄹㅇㄹㅇㄹ" localSheetId="0">BlankMacro1</definedName>
    <definedName name="ㄹㅇㄹㅇㄹㅇㄹ">BlankMacro1</definedName>
    <definedName name="ㄹㅇㅎㅀㅇㄹ">#REF!</definedName>
    <definedName name="ㄹㅈㅇㄴ" localSheetId="0">OFFSET('방재팀 (2026)'!ㄴㄹㅇ,0,4,1,1)</definedName>
    <definedName name="ㄹㅈㅇㄴ">OFFSET([0]!ㄴㄹㅇ,0,4,1,1)</definedName>
    <definedName name="라" localSheetId="0">BlankMacro1</definedName>
    <definedName name="라">BlankMacro1</definedName>
    <definedName name="라미" localSheetId="0">BlankMacro1</definedName>
    <definedName name="라미">BlankMacro1</definedName>
    <definedName name="라아아아아">#N/A</definedName>
    <definedName name="ㄻㅇㄻ" localSheetId="0">BlankMacro1</definedName>
    <definedName name="ㄻㅇㄻ">BlankMacro1</definedName>
    <definedName name="ㅀ러ㅗ러ㅗ" localSheetId="0">BlankMacro1</definedName>
    <definedName name="ㅀ러ㅗ러ㅗ">BlankMacro1</definedName>
    <definedName name="ㅁ" localSheetId="0">BlankMacro1</definedName>
    <definedName name="ㅁ">BlankMacro1</definedName>
    <definedName name="ㅁ01">#REF!</definedName>
    <definedName name="ㅁ1">#REF!</definedName>
    <definedName name="ㅁ139">#REF!</definedName>
    <definedName name="ㅁ1430">#REF!</definedName>
    <definedName name="ㅁ160">#REF!</definedName>
    <definedName name="ㅁ565">#REF!</definedName>
    <definedName name="ㅁ835">#REF!</definedName>
    <definedName name="ㅁㄴㅇㄱ">#REF!</definedName>
    <definedName name="ㅁㅁ" localSheetId="0">BlankMacro1</definedName>
    <definedName name="ㅁㅁ">BlankMacro1</definedName>
    <definedName name="ㅁㅁㄴㅁ호ㅗ" localSheetId="0">BlankMacro1</definedName>
    <definedName name="ㅁㅁㄴㅁ호ㅗ">BlankMacro1</definedName>
    <definedName name="ㅁㅁㅁㅁㅁ" localSheetId="0">BlankMacro1</definedName>
    <definedName name="ㅁㅁㅁㅁㅁ">BlankMacro1</definedName>
    <definedName name="ㅁㅁㅇㅎ" localSheetId="0">BlankMacro1</definedName>
    <definedName name="ㅁㅁㅇㅎ">BlankMacro1</definedName>
    <definedName name="ㅁㅇㄴㄶㅁㄹㅇㅇㄹㅇㄴ">#REF!</definedName>
    <definedName name="ㅁㅇㄹ" localSheetId="0">BlankMacro1</definedName>
    <definedName name="ㅁㅇㄹ">BlankMacro1</definedName>
    <definedName name="ㅁㅇㄹㅋㄴㅇ">#N/A</definedName>
    <definedName name="ㅁㅇㄻㄴㅇㄹ">#REF!</definedName>
    <definedName name="마" localSheetId="0">BlankMacro1</definedName>
    <definedName name="마">BlankMacro1</definedName>
    <definedName name="마_________산">#REF!</definedName>
    <definedName name="매출요약">#REF!</definedName>
    <definedName name="매출원가">#REF!</definedName>
    <definedName name="매크로2">#REF!</definedName>
    <definedName name="머니">#REF!</definedName>
    <definedName name="명산">#REF!</definedName>
    <definedName name="명예퇴직소득">[6]퇴직영수증!$L$14</definedName>
    <definedName name="명예퇴직수당">[6]퇴직영수증!$L$17</definedName>
    <definedName name="명퇴과표">#REF!</definedName>
    <definedName name="명퇴금">#REF!</definedName>
    <definedName name="명퇴산출세액">#REF!</definedName>
    <definedName name="명퇴연평균과표">#REF!</definedName>
    <definedName name="명퇴퇴직소득공제계">#REF!</definedName>
    <definedName name="명퇴환산세액">#REF!</definedName>
    <definedName name="모리시게">#REF!</definedName>
    <definedName name="목_________포">#REF!</definedName>
    <definedName name="목도공">#REF!</definedName>
    <definedName name="몰라">#N/A</definedName>
    <definedName name="못">#REF!</definedName>
    <definedName name="문" localSheetId="0">BlankMacro1</definedName>
    <definedName name="문">BlankMacro1</definedName>
    <definedName name="물가">#REF!</definedName>
    <definedName name="물가2">#REF!</definedName>
    <definedName name="물가자료">#REF!</definedName>
    <definedName name="물할">#REF!</definedName>
    <definedName name="미">#REF!</definedName>
    <definedName name="미나어림ㄴㅇㄹ">#REF!</definedName>
    <definedName name="미반사">#REF!</definedName>
    <definedName name="민">#REF!</definedName>
    <definedName name="ㅂ" localSheetId="0">BlankMacro1</definedName>
    <definedName name="ㅂ">BlankMacro1</definedName>
    <definedName name="ㅂㅂ11">#N/A</definedName>
    <definedName name="ㅂㅂㅂ">#REF!</definedName>
    <definedName name="ㅂㅂㅂㅂㅂ">#N/A</definedName>
    <definedName name="ㅂㅈ" localSheetId="0">BlankMacro1</definedName>
    <definedName name="ㅂㅈ">BlankMacro1</definedName>
    <definedName name="ㅂㅈㄷㅌ">#REF!</definedName>
    <definedName name="박명배퇴직">#REF!</definedName>
    <definedName name="박재홍">[14]퇴직영수증!#REF!</definedName>
    <definedName name="박정미">#REF!</definedName>
    <definedName name="박정희">[15]근로영수증!$BY$27</definedName>
    <definedName name="박준철">#REF!</definedName>
    <definedName name="박지다">#REF!</definedName>
    <definedName name="박호림">#REF!</definedName>
    <definedName name="박호림01">#REF!</definedName>
    <definedName name="반">#REF!</definedName>
    <definedName name="반제품">#REF!</definedName>
    <definedName name="반투과">#REF!</definedName>
    <definedName name="발령자">#N/A</definedName>
    <definedName name="발행자보고용">[6]퇴직영수증!$I$7</definedName>
    <definedName name="발행자보관용">[6]퇴직영수증!#REF!</definedName>
    <definedName name="배관">#REF!</definedName>
    <definedName name="배관공">#REF!</definedName>
    <definedName name="배우자">[6]근로영수증!$R$25</definedName>
    <definedName name="配合表2">#N/A</definedName>
    <definedName name="버젼2" localSheetId="0">BlankMacro1</definedName>
    <definedName name="버젼2">BlankMacro1</definedName>
    <definedName name="법_인_명_상_호">#REF!</definedName>
    <definedName name="법인등록번호">[6]퇴직영수증!$G$10</definedName>
    <definedName name="법인명">[6]퇴직영수증!$L$9</definedName>
    <definedName name="법인명1">[6]퇴직영수증!$O$26</definedName>
    <definedName name="법인주소">[6]근로영수증!$AI$11</definedName>
    <definedName name="변경">#REF!</definedName>
    <definedName name="변환">#REF!</definedName>
    <definedName name="보기월1">#REF!</definedName>
    <definedName name="보기월10">#REF!</definedName>
    <definedName name="보기월11">#REF!</definedName>
    <definedName name="보기월12">#REF!</definedName>
    <definedName name="보기월2">#REF!</definedName>
    <definedName name="보기월3">#REF!</definedName>
    <definedName name="보기월4">#REF!</definedName>
    <definedName name="보기월5">#REF!</definedName>
    <definedName name="보기월6">#REF!</definedName>
    <definedName name="보기월7">#REF!</definedName>
    <definedName name="보기월8">#REF!</definedName>
    <definedName name="보기월9">#REF!</definedName>
    <definedName name="보존">#N/A</definedName>
    <definedName name="保存">#N/A</definedName>
    <definedName name="보존년한">#REF!</definedName>
    <definedName name="보통_인부">#REF!</definedName>
    <definedName name="보통인부">#REF!</definedName>
    <definedName name="보험료">[6]근로영수증!$R$33</definedName>
    <definedName name="복사">#REF!</definedName>
    <definedName name="본사">#N/A</definedName>
    <definedName name="본인">[6]근로영수증!$R$24</definedName>
    <definedName name="뵤ㅛ뵵" localSheetId="0">BlankMacro1</definedName>
    <definedName name="뵤ㅛ뵵">BlankMacro1</definedName>
    <definedName name="뵤ㅛㅕ2ㅕ" localSheetId="0">BlankMacro1</definedName>
    <definedName name="뵤ㅛㅕ2ㅕ">BlankMacro1</definedName>
    <definedName name="부_________산">#REF!</definedName>
    <definedName name="부녀자">[6]근로영수증!$R$29</definedName>
    <definedName name="부녀자수">[6]근로영수증!$O$29</definedName>
    <definedName name="부서_본부">[16]코드정보!$A$3:$E$28</definedName>
    <definedName name="부서명">#REF!</definedName>
    <definedName name="부서코드">#REF!</definedName>
    <definedName name="부서코트변환">#REF!</definedName>
    <definedName name="부양가족">[6]근로영수증!$R$26</definedName>
    <definedName name="부양가족수">[6]근로영수증!$O$26</definedName>
    <definedName name="부양자내역">[6]근로영수증!$BS$2</definedName>
    <definedName name="부품">#REF!</definedName>
    <definedName name="부품명">#REF!</definedName>
    <definedName name="불량">#REF!</definedName>
    <definedName name="불량명">#REF!</definedName>
    <definedName name="불량수">#REF!</definedName>
    <definedName name="비과세계">[6]근로영수증!$BV$18</definedName>
    <definedName name="비교편차">#REF!,#REF!,#REF!,#REF!,#REF!,#REF!,#REF!,#REF!,#REF!,#REF!,#REF!,#REF!,#REF!,#REF!,#REF!</definedName>
    <definedName name="비목1">#REF!</definedName>
    <definedName name="비목2">#REF!</definedName>
    <definedName name="비목3">#REF!</definedName>
    <definedName name="비목4">#REF!</definedName>
    <definedName name="ㅅ" localSheetId="0">BlankMacro1</definedName>
    <definedName name="ㅅ">BlankMacro1</definedName>
    <definedName name="ㅅ됴죠">#N/A</definedName>
    <definedName name="ㅅㅎㅇㄶㅅㄱ" localSheetId="0">BlankMacro1</definedName>
    <definedName name="ㅅㅎㅇㄶㅅㄱ">BlankMacro1</definedName>
    <definedName name="ㅅㅎㅍ" localSheetId="0">BlankMacro1</definedName>
    <definedName name="ㅅㅎㅍ">BlankMacro1</definedName>
    <definedName name="사_업_년_도">#REF!</definedName>
    <definedName name="사업번호">[6]근로영수증!$BB$10</definedName>
    <definedName name="사업자등록번호">[6]퇴직영수증!$G$9</definedName>
    <definedName name="사업투자">#REF!</definedName>
    <definedName name="사원_기본정보">[16]기본정보!$A$3:$Q$113</definedName>
    <definedName name="사원이름">#REF!</definedName>
    <definedName name="산재보상기준">'[17]계산기(입력)'!#REF!</definedName>
    <definedName name="산출">#REF!</definedName>
    <definedName name="산출세액">[6]퇴직영수증!$L$22</definedName>
    <definedName name="산출세액계">#REF!</definedName>
    <definedName name="삼">#REF!</definedName>
    <definedName name="삼성법인카드">#REF!</definedName>
    <definedName name="삼월">#REF!</definedName>
    <definedName name="삼월제조원가">#REF!</definedName>
    <definedName name="상여계">[6]근로영수증!$AP$19</definedName>
    <definedName name="상호">[6]근로영수증!$M$10</definedName>
    <definedName name="상호1">[6]근로영수증!$BH$38</definedName>
    <definedName name="생산">#REF!</definedName>
    <definedName name="생산공정">#REF!</definedName>
    <definedName name="서_________산">#REF!</definedName>
    <definedName name="서_________울">#REF!</definedName>
    <definedName name="서___귀___포">#REF!</definedName>
    <definedName name="석태경">#REF!</definedName>
    <definedName name="석태경01">#REF!</definedName>
    <definedName name="설비">#REF!</definedName>
    <definedName name="성_명">#REF!</definedName>
    <definedName name="성도">#REF!</definedName>
    <definedName name="성명">#REF!</definedName>
    <definedName name="세금계">[6]퇴직영수증!$L$27</definedName>
    <definedName name="세무서">[6]근로영수증!$AX$43</definedName>
    <definedName name="세무서명">[6]퇴직영수증!$N$29</definedName>
    <definedName name="세액계">[6]근로영수증!$AN$43</definedName>
    <definedName name="세액공제">[6]퇴직영수증!$L$23</definedName>
    <definedName name="세율">#REF!</definedName>
    <definedName name="세율98">[7]근로소득세2001!#REF!</definedName>
    <definedName name="세판9월">#REF!</definedName>
    <definedName name="섹스">#REF!</definedName>
    <definedName name="소">#REF!</definedName>
    <definedName name="소냐" localSheetId="0">OFFSET('방재팀 (2026)'!File_Name,0,6,1,1)</definedName>
    <definedName name="소냐">OFFSET([0]!File_Name,0,6,1,1)</definedName>
    <definedName name="소득세">[6]퇴직영수증!$G$27</definedName>
    <definedName name="소득세계">[6]퇴직영수증!$G$29</definedName>
    <definedName name="소모비">#REF!</definedName>
    <definedName name="소물_BRKT_SUB_용접RH">#REF!</definedName>
    <definedName name="소수공제추가공제">[6]근로영수증!$R$31</definedName>
    <definedName name="소재지">[6]퇴직영수증!$L$10</definedName>
    <definedName name="소재지_사업장">#REF!</definedName>
    <definedName name="소형">#REF!</definedName>
    <definedName name="소형2">#REF!</definedName>
    <definedName name="소ㅑㄴ" localSheetId="0">OFFSET('방재팀 (2026)'!File_Name,0,6,1,1)</definedName>
    <definedName name="소ㅑㄴ">OFFSET([0]!File_Name,0,6,1,1)</definedName>
    <definedName name="속_________초">#REF!</definedName>
    <definedName name="손">#REF!</definedName>
    <definedName name="쇼뵤">#N/A</definedName>
    <definedName name="수">#REF!</definedName>
    <definedName name="수_________원">#REF!</definedName>
    <definedName name="수량">#REF!</definedName>
    <definedName name="수율" localSheetId="0">BlankMacro1</definedName>
    <definedName name="수율">BlankMacro1</definedName>
    <definedName name="수입검사">#N/A</definedName>
    <definedName name="수입검사trend" localSheetId="0">BlankMacro1</definedName>
    <definedName name="수입검사trend">BlankMacro1</definedName>
    <definedName name="수정2" localSheetId="0">BlankMacro1</definedName>
    <definedName name="수정2">BlankMacro1</definedName>
    <definedName name="수지">#REF!</definedName>
    <definedName name="수할">#REF!</definedName>
    <definedName name="스케줄">#REF!</definedName>
    <definedName name="시방">#REF!</definedName>
    <definedName name="시방1">#REF!</definedName>
    <definedName name="시설6월">#REF!</definedName>
    <definedName name="시설7월">#REF!</definedName>
    <definedName name="시행일자">#REF!</definedName>
    <definedName name="신">#REF!</definedName>
    <definedName name="신양식1">#REF!</definedName>
    <definedName name="신양식2">#REF!</definedName>
    <definedName name="신양식3">#REF!</definedName>
    <definedName name="신양식4">#REF!</definedName>
    <definedName name="신양식5">#REF!</definedName>
    <definedName name="신용카드">[6]근로영수증!$AN$25</definedName>
    <definedName name="신철혁">#N/A</definedName>
    <definedName name="신한법인카드">#REF!</definedName>
    <definedName name="실업급여">'[17]계산기(입력)'!#REF!</definedName>
    <definedName name="실행">#REF!</definedName>
    <definedName name="실행예산표">#REF!</definedName>
    <definedName name="실행조건">#REF!</definedName>
    <definedName name="ㅇ">#N/A</definedName>
    <definedName name="ㅇ191">#REF!</definedName>
    <definedName name="ㅇㄴ" localSheetId="0">BlankMacro1</definedName>
    <definedName name="ㅇㄴ">BlankMacro1</definedName>
    <definedName name="ㅇㄴㄹㄴㅇ">#N/A</definedName>
    <definedName name="ㅇㄴㄹㅇㄴㄹ">#REF!</definedName>
    <definedName name="ㅇㄴㅊㄴ" localSheetId="0">BlankMacro1</definedName>
    <definedName name="ㅇㄴㅊㄴ">BlankMacro1</definedName>
    <definedName name="ㅇㄴㅍㄴㅍ" localSheetId="0">OFFSET([0]!START,0,0,1,1)</definedName>
    <definedName name="ㅇㄴㅍㄴㅍ">OFFSET([0]!START,0,0,1,1)</definedName>
    <definedName name="ㅇㄹㄴㅇㄹㄴ" localSheetId="0">OFFSET([0]!START,0,0,1,1)</definedName>
    <definedName name="ㅇㄹㄴㅇㄹㄴ">OFFSET([0]!START,0,0,1,1)</definedName>
    <definedName name="ㅇㄹㄴㅇㅇ">#N/A</definedName>
    <definedName name="ㅇㄹㄴㅇㅇㄹ" localSheetId="0">OFFSET('방재팀 (2026)'!ㄹㅇㄹㄴㅇㄹㅇㄴㄹ,0,4,1,1)</definedName>
    <definedName name="ㅇㄹㄴㅇㅇㄹ">OFFSET([0]!ㄹㅇㄹㄴㅇㄹㅇㄴㄹ,0,4,1,1)</definedName>
    <definedName name="ㅇㄹㄹㅇㄹㅇㄹ" localSheetId="0">BlankMacro1</definedName>
    <definedName name="ㅇㄹㄹㅇㄹㅇㄹ">BlankMacro1</definedName>
    <definedName name="ㅇㄹㅇ">#N/A</definedName>
    <definedName name="ㅇㄹㅇㄹ" localSheetId="0">BlankMacro1</definedName>
    <definedName name="ㅇㄹㅇㄹ">BlankMacro1</definedName>
    <definedName name="ㅇㄹㅇㄹㅇ">#N/A</definedName>
    <definedName name="ㅇㄹㅇㅇㄹㄹㅇㄹㅇ" localSheetId="0">OFFSET('방재팀 (2026)'!ㅇㄹㄴㅇㄹㄴ,0,3,1,1)</definedName>
    <definedName name="ㅇㄹㅇㅇㄹㄹㅇㄹㅇ">OFFSET([0]!ㅇㄹㄴㅇㄹㄴ,0,3,1,1)</definedName>
    <definedName name="ㅇ레ㅐㅑㅁㄴㅇ래ㅑㅁㄴㅇㅀ">#REF!</definedName>
    <definedName name="ㅇㄿㄹ율퓨">#N/A</definedName>
    <definedName name="ㅇㅁ" localSheetId="0">BlankMacro1</definedName>
    <definedName name="ㅇㅁ">BlankMacro1</definedName>
    <definedName name="ㅇㅁㄻㅇ">#N/A</definedName>
    <definedName name="ㅇㅁㅅㅁ">#REF!</definedName>
    <definedName name="ㅇㅁㅇ">#REF!</definedName>
    <definedName name="ㅇㅁㅇㄹ" localSheetId="0">BlankMacro1</definedName>
    <definedName name="ㅇㅁㅇㄹ">BlankMacro1</definedName>
    <definedName name="ㅇㅇ" localSheetId="0">BlankMacro1</definedName>
    <definedName name="ㅇㅇ">BlankMacro1</definedName>
    <definedName name="ㅇㅇㄹㅇㄹ" localSheetId="0">BlankMacro1</definedName>
    <definedName name="ㅇㅇㄹㅇㄹ">BlankMacro1</definedName>
    <definedName name="ㅇㅇㅇㅇㅇ">#REF!,#REF!,#REF!,#REF!,#REF!,#REF!,#REF!,#REF!,#REF!,#REF!,#REF!,#REF!,#REF!,#REF!,#REF!,#REF!,#REF!,#REF!,#REF!,#REF!,#REF!</definedName>
    <definedName name="ㅇㅇㅇㅇㅇㅇ" localSheetId="0">OFFSET('방재팀 (2026)'!ㅇㄹㄴㅇㄹㄴ,0,4,1,1)</definedName>
    <definedName name="ㅇㅇㅇㅇㅇㅇ">OFFSET([0]!ㅇㄹㄴㅇㄹㄴ,0,4,1,1)</definedName>
    <definedName name="ㅇㅊㄴㅇㅁ" localSheetId="0">OFFSET('방재팀 (2026)'!ㅇㄴㅍㄴㅍ,0,4,1,1)</definedName>
    <definedName name="ㅇㅊㄴㅇㅁ">OFFSET([0]!ㅇㄴㅍㄴㅍ,0,4,1,1)</definedName>
    <definedName name="ㅇㅊㅍㅊ" localSheetId="0">BlankMacro1</definedName>
    <definedName name="ㅇㅊㅍㅊ">BlankMacro1</definedName>
    <definedName name="ㅇㅌㄴㅊㄴㅁ" localSheetId="0">OFFSET('방재팀 (2026)'!ㄴㅇㅁㄴ,0,3,1,1)</definedName>
    <definedName name="ㅇㅌㄴㅊㄴㅁ">OFFSET([0]!ㄴㅇㅁㄴ,0,3,1,1)</definedName>
    <definedName name="ㅇㅌㅊㅋㅇ" localSheetId="0">OFFSET('방재팀 (2026)'!ㄴㅇㅁㄴ,0,6,1,1)</definedName>
    <definedName name="ㅇㅌㅊㅋㅇ">OFFSET([0]!ㄴㅇㅁㄴ,0,6,1,1)</definedName>
    <definedName name="ㅇㅌㅊㅌㅋㅊ" localSheetId="0">BlankMacro1</definedName>
    <definedName name="ㅇㅌㅊㅌㅋㅊ">BlankMacro1</definedName>
    <definedName name="ㅇㅍㄴㅇㅍㄴ" localSheetId="0">OFFSET('방재팀 (2026)'!ㅇㄴㅍㄴㅍ,0,5,1,1)</definedName>
    <definedName name="ㅇㅍㄴㅇㅍㄴ">OFFSET([0]!ㅇㄴㅍㄴㅍ,0,5,1,1)</definedName>
    <definedName name="ㅇㅎㅇ로ㅓ">#REF!</definedName>
    <definedName name="아세투">#REF!</definedName>
    <definedName name="아아아아아" localSheetId="0">BlankMacro1</definedName>
    <definedName name="아아아아아">BlankMacro1</definedName>
    <definedName name="아아아아아아아" localSheetId="0">BlankMacro1</definedName>
    <definedName name="아아아아아아아">BlankMacro1</definedName>
    <definedName name="아이">#REF!</definedName>
    <definedName name="안_________동">#REF!</definedName>
    <definedName name="안녕">#REF!</definedName>
    <definedName name="안성걸">#REF!</definedName>
    <definedName name="안원길">#REF!</definedName>
    <definedName name="앙" localSheetId="0">OFFSET('방재팀 (2026)'!File_Name,0,4,1,1)</definedName>
    <definedName name="앙">OFFSET([0]!File_Name,0,4,1,1)</definedName>
    <definedName name="야">#N/A</definedName>
    <definedName name="야야야양">#REF!</definedName>
    <definedName name="양">#REF!</definedName>
    <definedName name="양양양" localSheetId="0">BlankMacro1</definedName>
    <definedName name="양양양">BlankMacro1</definedName>
    <definedName name="어" localSheetId="0">BlankMacro1</definedName>
    <definedName name="어">BlankMacro1</definedName>
    <definedName name="어거">#REF!</definedName>
    <definedName name="엄ㅁㅁㅁ">#REF!</definedName>
    <definedName name="업_________태">#REF!</definedName>
    <definedName name="업체">#REF!</definedName>
    <definedName name="에뎅">#REF!</definedName>
    <definedName name="엔s">#REF!</definedName>
    <definedName name="엔화">#REF!</definedName>
    <definedName name="엘유티08연차">[13]Format!$A$2:$F$488</definedName>
    <definedName name="여_________수">#REF!</definedName>
    <definedName name="여여영">#REF!</definedName>
    <definedName name="연간운영비">#REF!</definedName>
    <definedName name="연구소" localSheetId="0">OFFSET('방재팀 (2026)'!File_Name,0,4,1,1)</definedName>
    <definedName name="연구소">OFFSET([0]!File_Name,0,4,1,1)</definedName>
    <definedName name="연금소득금액">[6]근로영수증!$AN$22</definedName>
    <definedName name="연습" localSheetId="0">BlankMacro1</definedName>
    <definedName name="연습">BlankMacro1</definedName>
    <definedName name="연월일">[6]퇴직영수증!$O$24</definedName>
    <definedName name="연평균과세표준">[6]퇴직영수증!$H$24</definedName>
    <definedName name="연평균과표계">#REF!</definedName>
    <definedName name="연평균산출세액">[6]퇴직영수증!$L$21</definedName>
    <definedName name="영">#REF!</definedName>
    <definedName name="영업외비용">#REF!</definedName>
    <definedName name="영업이익">#REF!</definedName>
    <definedName name="오">#REF!</definedName>
    <definedName name="와우리" localSheetId="0">BlankMacro1</definedName>
    <definedName name="와우리">BlankMacro1</definedName>
    <definedName name="와이프">#REF!</definedName>
    <definedName name="와징" localSheetId="0">BlankMacro1</definedName>
    <definedName name="와징">BlankMacro1</definedName>
    <definedName name="완_________도">#REF!</definedName>
    <definedName name="외국납부세액">[6]근로영수증!$AN$35</definedName>
    <definedName name="외비할">#REF!</definedName>
    <definedName name="용접공">#REF!</definedName>
    <definedName name="우리" localSheetId="0">BlankMacro1</definedName>
    <definedName name="우리">BlankMacro1</definedName>
    <definedName name="우일">#REF!</definedName>
    <definedName name="운송할">#REF!</definedName>
    <definedName name="운영">#REF!</definedName>
    <definedName name="울_________산">#REF!</definedName>
    <definedName name="울_________진">#REF!</definedName>
    <definedName name="원_________주">#REF!</definedName>
    <definedName name="원단위">#REF!</definedName>
    <definedName name="원상만">#REF!</definedName>
    <definedName name="원인">#REF!</definedName>
    <definedName name="원재료">#REF!</definedName>
    <definedName name="원재료사용">#REF!</definedName>
    <definedName name="원화환율">#REF!</definedName>
    <definedName name="월1">#REF!</definedName>
    <definedName name="월10">#REF!</definedName>
    <definedName name="월11">#REF!</definedName>
    <definedName name="월12">#REF!</definedName>
    <definedName name="월2">#REF!</definedName>
    <definedName name="월3">#REF!</definedName>
    <definedName name="월4">#REF!</definedName>
    <definedName name="월5">#REF!</definedName>
    <definedName name="월6">#REF!</definedName>
    <definedName name="월7">#REF!</definedName>
    <definedName name="월8">#REF!</definedName>
    <definedName name="월9">#REF!</definedName>
    <definedName name="월간">#REF!</definedName>
    <definedName name="월월">#REF!</definedName>
    <definedName name="월전체">#REF!,#REF!,#REF!,#REF!,#REF!,#REF!,#REF!,#REF!,#REF!,#REF!,#REF!,#REF!</definedName>
    <definedName name="유">#REF!</definedName>
    <definedName name="유광용">#REF!</definedName>
    <definedName name="유광용01">#REF!</definedName>
    <definedName name="유미">#REF!</definedName>
    <definedName name="을___릉___도">#REF!</definedName>
    <definedName name="의료비">[6]근로영수증!$R$35</definedName>
    <definedName name="이" localSheetId="0">BlankMacro1</definedName>
    <definedName name="이">BlankMacro1</definedName>
    <definedName name="이름">#REF!</definedName>
    <definedName name="이름충돌">#REF!</definedName>
    <definedName name="이성구">#REF!</definedName>
    <definedName name="이송희">#REF!</definedName>
    <definedName name="이수할">#REF!</definedName>
    <definedName name="이아아앙" localSheetId="0">BlankMacro1</definedName>
    <definedName name="이아아앙">BlankMacro1</definedName>
    <definedName name="이용">#REF!</definedName>
    <definedName name="이월">#REF!</definedName>
    <definedName name="이월재공품">#REF!</definedName>
    <definedName name="이월제조원가">#REF!</definedName>
    <definedName name="이윤">#REF!</definedName>
    <definedName name="이종근">[9]근로영수증!$R$27</definedName>
    <definedName name="이종길">#REF!</definedName>
    <definedName name="이종서">#REF!</definedName>
    <definedName name="이진식">#REF!</definedName>
    <definedName name="이진식01">#REF!</definedName>
    <definedName name="人">#REF!</definedName>
    <definedName name="인_________천">#REF!</definedName>
    <definedName name="인건비" hidden="1">{"'2분기예산별'!$B$2:$O$38"}</definedName>
    <definedName name="인건비1" hidden="1">{"'2분기예산별'!$B$2:$O$38"}</definedName>
    <definedName name="인모">#REF!</definedName>
    <definedName name="인비할">#REF!</definedName>
    <definedName name="인비할1">#REF!</definedName>
    <definedName name="인사사항">#REF!</definedName>
    <definedName name="인세할">#REF!</definedName>
    <definedName name="인쇄영역">#REF!</definedName>
    <definedName name="인쇄영역2">#REF!</definedName>
    <definedName name="인수할">#REF!</definedName>
    <definedName name="인수할1">#REF!</definedName>
    <definedName name="인원">#N/A</definedName>
    <definedName name="인원계획입니다.">#N/A</definedName>
    <definedName name="인원현황">#REF!</definedName>
    <definedName name="인원현황2006" localSheetId="0">OFFSET([0]!START,0,0,1,1)</definedName>
    <definedName name="인원현황2006">OFFSET([0]!START,0,0,1,1)</definedName>
    <definedName name="인정계">[6]근로영수증!$AW$19</definedName>
    <definedName name="일반관리비">#REF!</definedName>
    <definedName name="일월">#REF!</definedName>
    <definedName name="일월재공품">#REF!</definedName>
    <definedName name="일월제조원가">#REF!</definedName>
    <definedName name="일일누계">#REF!</definedName>
    <definedName name="일일일계">#REF!</definedName>
    <definedName name="입고수">#REF!</definedName>
    <definedName name="입고수2">#REF!</definedName>
    <definedName name="입사년월일">[6]퇴직영수증!$F$19</definedName>
    <definedName name="입사일">[6]퇴직영수증!$P$11</definedName>
    <definedName name="ㅈㄱㅎㄱㄷㅎ">#REF!</definedName>
    <definedName name="ㅈㄴㅇㄹ" localSheetId="0">OFFSET('방재팀 (2026)'!ㄴㄹㅇ,0,1,1,1)</definedName>
    <definedName name="ㅈㄴㅇㄹ">OFFSET([0]!ㄴㄹㅇ,0,1,1,1)</definedName>
    <definedName name="ㅈㄷㄷㄷ" localSheetId="0">BlankMacro1</definedName>
    <definedName name="ㅈㄷㄷㄷ">BlankMacro1</definedName>
    <definedName name="ㅈㄹ" localSheetId="0">OFFSET('방재팀 (2026)'!ㄴㄹㅇ,0,4,1,1)</definedName>
    <definedName name="ㅈㄹ">OFFSET([0]!ㄴㄹㅇ,0,4,1,1)</definedName>
    <definedName name="ㅈㅇㄴㅁ" localSheetId="0">OFFSET('방재팀 (2026)'!ㄴㄹㅇ,0,6,1,1)</definedName>
    <definedName name="ㅈㅇㄴㅁ">OFFSET([0]!ㄴㄹㅇ,0,6,1,1)</definedName>
    <definedName name="자금수지" hidden="1">#REF!</definedName>
    <definedName name="자녀양육비">[6]근로영수증!$R$30</definedName>
    <definedName name="자녀양육수">[6]근로영수증!$O$30</definedName>
    <definedName name="자비할">#REF!</definedName>
    <definedName name="자비할1">#REF!</definedName>
    <definedName name="자수할">#REF!</definedName>
    <definedName name="자수할1">#REF!</definedName>
    <definedName name="자할2">#REF!</definedName>
    <definedName name="자할3">#REF!</definedName>
    <definedName name="자할4">#REF!</definedName>
    <definedName name="작성자">#REF!</definedName>
    <definedName name="장" localSheetId="0">BlankMacro1</definedName>
    <definedName name="장">BlankMacro1</definedName>
    <definedName name="장기투자.94.BB">#REF!</definedName>
    <definedName name="장비">#REF!</definedName>
    <definedName name="장비할">#REF!</definedName>
    <definedName name="장소1">#REF!</definedName>
    <definedName name="장소10">#REF!</definedName>
    <definedName name="장소11">#REF!</definedName>
    <definedName name="장소12">#REF!</definedName>
    <definedName name="장소2">#REF!</definedName>
    <definedName name="장소3">#REF!</definedName>
    <definedName name="장소4">#REF!</definedName>
    <definedName name="장소5">#REF!</definedName>
    <definedName name="장소6">#REF!</definedName>
    <definedName name="장소7">#REF!</definedName>
    <definedName name="장소8">#REF!</definedName>
    <definedName name="장소9">#REF!</definedName>
    <definedName name="장소전체">#REF!,#REF!,#REF!,#REF!,#REF!,#REF!,#REF!,#REF!,#REF!,#REF!,#REF!,#REF!</definedName>
    <definedName name="장애자">[6]근로영수증!$R$28</definedName>
    <definedName name="장애자수">[6]근로영수증!$O$28</definedName>
    <definedName name="장포">#REF!</definedName>
    <definedName name="재고">#REF!</definedName>
    <definedName name="재공품">#REF!</definedName>
    <definedName name="저축세액">[6]근로영수증!$AN$31</definedName>
    <definedName name="積層" localSheetId="0">[0]!Record2</definedName>
    <definedName name="積層">[0]!Record2</definedName>
    <definedName name="전_________주">#REF!</definedName>
    <definedName name="전_화_번_호">#REF!</definedName>
    <definedName name="전기공사">#REF!</definedName>
    <definedName name="전망">#REF!</definedName>
    <definedName name="全体">#REF!</definedName>
    <definedName name="全体１">#REF!</definedName>
    <definedName name="전체근속연수">#REF!</definedName>
    <definedName name="전화">#REF!</definedName>
    <definedName name="정동준">#REF!</definedName>
    <definedName name="정성우">#REF!</definedName>
    <definedName name="정스">#REF!</definedName>
    <definedName name="정종길">#REF!</definedName>
    <definedName name="제">#REF!</definedName>
    <definedName name="제_________주">#REF!</definedName>
    <definedName name="제목">#REF!</definedName>
    <definedName name="제조경비">#REF!</definedName>
    <definedName name="제포">#REF!</definedName>
    <definedName name="제품">#REF!</definedName>
    <definedName name="제품룸">#N/A</definedName>
    <definedName name="조규근">#REF!</definedName>
    <definedName name="조직도">#N/A</definedName>
    <definedName name="종" localSheetId="0">BlankMacro1</definedName>
    <definedName name="종">BlankMacro1</definedName>
    <definedName name="종_________목">#REF!</definedName>
    <definedName name="종계">[6]근로영수증!$BD$17</definedName>
    <definedName name="종급여">[6]근로영수증!$AH$17</definedName>
    <definedName name="종상여">[6]근로영수증!$AP$17</definedName>
    <definedName name="종세금계">[6]근로영수증!$BY$28</definedName>
    <definedName name="종소득세">[6]근로영수증!$BH$28</definedName>
    <definedName name="종인정">[6]근로영수증!$AW$17</definedName>
    <definedName name="종전세금계">[6]퇴직영수증!$L$28</definedName>
    <definedName name="종전소득세">[6]퇴직영수증!$G$28</definedName>
    <definedName name="종전주민세">[6]퇴직영수증!$J$28</definedName>
    <definedName name="종주민세">[6]근로영수증!$BT$28</definedName>
    <definedName name="종합">#N/A</definedName>
    <definedName name="종합소득과세표준">[6]근로영수증!$AN$27</definedName>
    <definedName name="주____________소">#REF!</definedName>
    <definedName name="주간">#REF!</definedName>
    <definedName name="주간보고">#REF!</definedName>
    <definedName name="주민등록번호">[6]퇴직영수증!$L$11</definedName>
    <definedName name="주민등록번호_대표자">#REF!</definedName>
    <definedName name="주민번호">#N/A</definedName>
    <definedName name="주민세">[6]퇴직영수증!$J$27</definedName>
    <definedName name="주민세계">[6]퇴직영수증!$J$29</definedName>
    <definedName name="주소">[6]퇴직영수증!$G$12</definedName>
    <definedName name="주식저축세액">[6]근로영수증!$AN$37</definedName>
    <definedName name="주요자재">#REF!</definedName>
    <definedName name="주차">'[18]백데이터(출력안함)'!$C$147:$H$153</definedName>
    <definedName name="주택자금">[6]근로영수증!$R$39</definedName>
    <definedName name="주택차입금세액">[6]근로영수증!$AN$33</definedName>
    <definedName name="준철">#REF!</definedName>
    <definedName name="준철이">#REF!</definedName>
    <definedName name="중간정산이후근속연수">#REF!</definedName>
    <definedName name="중간정산일">#REF!</definedName>
    <definedName name="중량">#REF!</definedName>
    <definedName name="중량표">#REF!</definedName>
    <definedName name="중소">#REF!</definedName>
    <definedName name="중소형">#REF!</definedName>
    <definedName name="중퇴과표">#REF!</definedName>
    <definedName name="중퇴근속연수">#REF!</definedName>
    <definedName name="중퇴근속연수계">#REF!</definedName>
    <definedName name="중퇴금">#REF!</definedName>
    <definedName name="중퇴금계">#REF!</definedName>
    <definedName name="중퇴명퇴금">#REF!</definedName>
    <definedName name="중퇴명퇴금계">#REF!</definedName>
    <definedName name="중퇴산출세액">#REF!</definedName>
    <definedName name="중퇴산출세액계">#REF!</definedName>
    <definedName name="중퇴연평균과표">#REF!</definedName>
    <definedName name="중퇴퇴직소득공제계">#REF!</definedName>
    <definedName name="중퇴환산세액">#REF!</definedName>
    <definedName name="중퇴환산세액계">#REF!</definedName>
    <definedName name="지역">#REF!</definedName>
    <definedName name="지역별">#REF!</definedName>
    <definedName name="직원_근무지">[16]기본정보!$G:$G</definedName>
    <definedName name="직원_근속">[16]기본정보!$N:$N</definedName>
    <definedName name="직원_부서">[16]기본정보!$E:$E</definedName>
    <definedName name="직원_성별">[16]기본정보!$L:$L</definedName>
    <definedName name="직원_연령">[16]기본정보!$K:$K</definedName>
    <definedName name="직원_연차">[16]코드정보!$G$3:$H$33</definedName>
    <definedName name="직원_직급">[16]기본정보!$H:$H</definedName>
    <definedName name="직원코드">'[18]백데이터(출력안함)'!$C$5:$G$145</definedName>
    <definedName name="직위">#REF!</definedName>
    <definedName name="직접인건비A" hidden="1">{"'2분기예산별'!$B$2:$O$38"}</definedName>
    <definedName name="직접인건비세부내역A" hidden="1">{"'2분기예산별'!$B$2:$O$38"}</definedName>
    <definedName name="진">#REF!</definedName>
    <definedName name="진_________주">#REF!</definedName>
    <definedName name="집">#REF!</definedName>
    <definedName name="징수년월일">[6]근로영수증!$BG$34</definedName>
    <definedName name="징수부1">#REF!</definedName>
    <definedName name="ㅊㄹㄷㄱ">#REF!</definedName>
    <definedName name="ㅊㅇㅌㄴㅊㄴㅇ" localSheetId="0">OFFSET('방재팀 (2026)'!ㄴㅇㅁㄴ,0,1,1,1)</definedName>
    <definedName name="ㅊㅇㅌㄴㅊㄴㅇ">OFFSET([0]!ㄴㅇㅁㄴ,0,1,1,1)</definedName>
    <definedName name="ㅊㅊㅊㅊ">#N/A</definedName>
    <definedName name="ㅊㅌㅋㅊㅋ" localSheetId="0">BlankMacro1</definedName>
    <definedName name="ㅊㅌㅋㅊㅋ">BlankMacro1</definedName>
    <definedName name="ㅊㅌㅋㅌㅊ">#N/A</definedName>
    <definedName name="ㅊㅍㅌㅊㅋㅍㄴ" localSheetId="0">OFFSET('방재팀 (2026)'!ㅇㄴㅍㄴㅍ,0,4,1,1)</definedName>
    <definedName name="ㅊㅍㅌㅊㅋㅍㄴ">OFFSET([0]!ㅇㄴㅍㄴㅍ,0,4,1,1)</definedName>
    <definedName name="ㅊㅍㅌㅊㅍ" localSheetId="0">OFFSET('방재팀 (2026)'!ㅇㄴㅍㄴㅍ,0,4,1,1)</definedName>
    <definedName name="ㅊㅍㅌㅊㅍ">OFFSET([0]!ㅇㄴㅍㄴㅍ,0,4,1,1)</definedName>
    <definedName name="차감소득금액">[6]근로영수증!$AN$21</definedName>
    <definedName name="차감징수계">[6]근로영수증!$BY$30</definedName>
    <definedName name="차감징수세금">[6]근로영수증!$BH$30</definedName>
    <definedName name="차감징수주민">[6]근로영수증!$BT$30</definedName>
    <definedName name="참가확인서">#REF!</definedName>
    <definedName name="처">#REF!</definedName>
    <definedName name="천">#REF!</definedName>
    <definedName name="천안">#REF!</definedName>
    <definedName name="철_________원">#REF!</definedName>
    <definedName name="첨부1.공급방안">#REF!</definedName>
    <definedName name="청_________주">#REF!</definedName>
    <definedName name="초">#REF!</definedName>
    <definedName name="총계">[6]퇴직영수증!$L$29</definedName>
    <definedName name="총괄표" hidden="1">{"'2분기예산별'!$B$2:$O$38"}</definedName>
    <definedName name="최영임">#REF!</definedName>
    <definedName name="최종월정액급여">[6]근로영수증!$BV$19</definedName>
    <definedName name="최초신고용">#REF!</definedName>
    <definedName name="추___풍___령">#REF!</definedName>
    <definedName name="춘_________천">#REF!</definedName>
    <definedName name="충_________무">#REF!</definedName>
    <definedName name="ㅋ" localSheetId="0">BlankMacro1</definedName>
    <definedName name="ㅋ">BlankMacro1</definedName>
    <definedName name="ㅋㄴㄴㅁ">#REF!</definedName>
    <definedName name="ㅋㅇㄴㅁㄻㄹㅇㄹㄴㅇㄹㄴㅁ">#REF!</definedName>
    <definedName name="ㅋㅋ">#REF!</definedName>
    <definedName name="ㅋㅋㅋ">#N/A</definedName>
    <definedName name="ㅋㅌㅊㅇㄴㅍㅊ" localSheetId="0">BlankMacro1</definedName>
    <definedName name="ㅋㅌㅊㅇㄴㅍㅊ">BlankMacro1</definedName>
    <definedName name="카드종류">#REF!</definedName>
    <definedName name="커미션2">0.02</definedName>
    <definedName name="커미션3">0.03</definedName>
    <definedName name="커미션4">0.04</definedName>
    <definedName name="커미션7">0.07</definedName>
    <definedName name="코드">#REF!</definedName>
    <definedName name="코스트별구분" localSheetId="0">BlankMacro1</definedName>
    <definedName name="코스트별구분">BlankMacro1</definedName>
    <definedName name="코스트센터">#REF!</definedName>
    <definedName name="쿠">#REF!</definedName>
    <definedName name="ㅌ" localSheetId="0">BlankMacro1</definedName>
    <definedName name="ㅌ">BlankMacro1</definedName>
    <definedName name="ㅌㄴㅇㅊㅊ" localSheetId="0">OFFSET('방재팀 (2026)'!ㄴㅇㅁㄴ,0,4,1,1)</definedName>
    <definedName name="ㅌㄴㅇㅊㅊ">OFFSET([0]!ㄴㅇㅁㄴ,0,4,1,1)</definedName>
    <definedName name="ㅌㄴㅋㅊㄴㅇ" localSheetId="0">BlankMacro1</definedName>
    <definedName name="ㅌㄴㅋㅊㄴㅇ">BlankMacro1</definedName>
    <definedName name="ㅌㄴㅋㅌ">#N/A</definedName>
    <definedName name="ㅌㅇㄴㅇㄹ">[7]금융소득종합과세!#REF!</definedName>
    <definedName name="ㅌㅊㄴㅇㅊ">#N/A</definedName>
    <definedName name="ㅌㅊㄴㅇㅍㄴ륲">#N/A</definedName>
    <definedName name="ㅌㅊㅊ" localSheetId="0">BlankMacro1</definedName>
    <definedName name="ㅌㅊㅊ">BlankMacro1</definedName>
    <definedName name="ㅌㅊㅋ">#N/A</definedName>
    <definedName name="ㅌㅊㅋㅊ">#N/A</definedName>
    <definedName name="ㅌㅊㅋㅌ" localSheetId="0">OFFSET([0]!START,0,0,1,1)</definedName>
    <definedName name="ㅌㅊㅋㅌ">OFFSET([0]!START,0,0,1,1)</definedName>
    <definedName name="ㅌㅊㅌㅋㄴㅊ" localSheetId="0">BlankMacro1</definedName>
    <definedName name="ㅌㅊㅌㅋㄴㅊ">BlankMacro1</definedName>
    <definedName name="ㅌㅊㅍㅋㅌ" localSheetId="0">OFFSET('방재팀 (2026)'!ㅇㄴㅍㄴㅍ,0,6,1,1)</definedName>
    <definedName name="ㅌㅊㅍㅋㅌ">OFFSET([0]!ㅇㄴㅍㄴㅍ,0,6,1,1)</definedName>
    <definedName name="ㅌㅋㅊㅋㅁㅊ" localSheetId="0">BlankMacro1</definedName>
    <definedName name="ㅌㅋㅊㅋㅁㅊ">BlankMacro1</definedName>
    <definedName name="ㅌㅋㅊㅋㅊ" localSheetId="0">BlankMacro1</definedName>
    <definedName name="ㅌㅋㅊㅋㅊ">BlankMacro1</definedName>
    <definedName name="ㅌㅋㅊㅋㅌㅊ" localSheetId="0">BlankMacro1</definedName>
    <definedName name="ㅌㅋㅊㅋㅌㅊ">BlankMacro1</definedName>
    <definedName name="ㅌㅋㅊㅋㅌㅍㄴ" localSheetId="0">OFFSET('방재팀 (2026)'!ㅇㄴㅍㄴㅍ,0,1,1,1)</definedName>
    <definedName name="ㅌㅋㅊㅋㅌㅍㄴ">OFFSET([0]!ㅇㄴㅍㄴㅍ,0,1,1,1)</definedName>
    <definedName name="ㅌㅌㅌㅊㅍ">#REF!</definedName>
    <definedName name="탕">#REF!</definedName>
    <definedName name="탕정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류판">#REF!</definedName>
    <definedName name="통합할">#REF!</definedName>
    <definedName name="퇴사년월일">[6]퇴직영수증!$H$19</definedName>
    <definedName name="퇴사일">[6]퇴직영수증!$P$12</definedName>
    <definedName name="퇴직금">[13]Format!$A$2:$F$488</definedName>
    <definedName name="퇴직금과표">#REF!</definedName>
    <definedName name="퇴직금산출세액">#REF!</definedName>
    <definedName name="퇴직금연평균과표">#REF!</definedName>
    <definedName name="퇴직금퇴직소득공제">#REF!</definedName>
    <definedName name="퇴직금환산세액">#REF!</definedName>
    <definedName name="퇴직급여">[6]퇴직영수증!$K$17</definedName>
    <definedName name="퇴직급여계">[6]퇴직영수증!$K$17</definedName>
    <definedName name="퇴직급여액">[6]퇴직영수증!$H$21</definedName>
    <definedName name="퇴직소득">[6]퇴직영수증!$K$14</definedName>
    <definedName name="퇴직소득공제">[6]퇴직영수증!$H$22</definedName>
    <definedName name="퇴직소득과세표준">[6]퇴직영수증!$H$23</definedName>
    <definedName name="퇴직영수증">[19]퇴직영수증!#REF!</definedName>
    <definedName name="투자조합">[6]근로영수증!$AN$24</definedName>
    <definedName name="트랜드" localSheetId="0">BlankMacro1</definedName>
    <definedName name="트랜드">BlankMacro1</definedName>
    <definedName name="특별_인부">#REF!</definedName>
    <definedName name="틀고정">#REF!</definedName>
    <definedName name="팀명">#REF!</definedName>
    <definedName name="팀코드">#REF!</definedName>
    <definedName name="ㅍ">#REF!</definedName>
    <definedName name="ㅍㅇㄴ" localSheetId="0">OFFSET('방재팀 (2026)'!ㄴㄹㅇ,0,1,1,1)</definedName>
    <definedName name="ㅍㅇㄴ">OFFSET([0]!ㄴㄹㅇ,0,1,1,1)</definedName>
    <definedName name="ㅍㅊㅌㅇㅍ" localSheetId="0">OFFSET('방재팀 (2026)'!ㅇㄴㅍㄴㅍ,0,6,1,1)</definedName>
    <definedName name="ㅍㅊㅌㅇㅍ">OFFSET([0]!ㅇㄴㅍㄴㅍ,0,6,1,1)</definedName>
    <definedName name="ㅍㅍㅍㅍ">#N/A</definedName>
    <definedName name="파운드">#REF!</definedName>
    <definedName name="파운드환율">#REF!</definedName>
    <definedName name="판관비">#REF!</definedName>
    <definedName name="판매계획" localSheetId="0">BlankMacro1</definedName>
    <definedName name="판매계획">BlankMacro1</definedName>
    <definedName name="평택">#REF!</definedName>
    <definedName name="평택연" localSheetId="0">BlankMacro1</definedName>
    <definedName name="평택연">BlankMacro1</definedName>
    <definedName name="포_________항">#REF!</definedName>
    <definedName name="표">#REF!</definedName>
    <definedName name="표0">#REF!</definedName>
    <definedName name="표1">#REF!</definedName>
    <definedName name="표2">#REF!</definedName>
    <definedName name="표3">#REF!</definedName>
    <definedName name="표5">#REF!</definedName>
    <definedName name="표6">#REF!</definedName>
    <definedName name="표8">#REF!</definedName>
    <definedName name="표준공제">[6]근로영수증!$R$43</definedName>
    <definedName name="표지">#REF!</definedName>
    <definedName name="품_______________명">#REF!</definedName>
    <definedName name="품의">#REF!</definedName>
    <definedName name="피시">#REF!</definedName>
    <definedName name="ㅎ">#N/A</definedName>
    <definedName name="ㅎㄴㅇ" localSheetId="0">OFFSET('방재팀 (2026)'!ㄴㄹㅇ,0,3,1,1)</definedName>
    <definedName name="ㅎㄴㅇ">OFFSET([0]!ㄴㄹㅇ,0,3,1,1)</definedName>
    <definedName name="ㅎㄷㄱ">#N/A</definedName>
    <definedName name="ㅎㅁ">#REF!</definedName>
    <definedName name="ㅎㅁㅅ" localSheetId="0">BlankMacro1</definedName>
    <definedName name="ㅎㅁㅅ">BlankMacro1</definedName>
    <definedName name="ㅎㅁㅇ">#N/A</definedName>
    <definedName name="ㅎ퍼ㅏㅓㅏㅣㅣ" localSheetId="0">OFFSET([0]!START,0,0,1,1)</definedName>
    <definedName name="ㅎ퍼ㅏㅓㅏㅣㅣ">OFFSET([0]!START,0,0,1,1)</definedName>
    <definedName name="ㅎㅎ">#REF!</definedName>
    <definedName name="ㅎㅎㅎ" hidden="1">#REF!</definedName>
    <definedName name="ㅎㅎㅎㅎ" localSheetId="0">BlankMacro1</definedName>
    <definedName name="ㅎㅎㅎㅎ">BlankMacro1</definedName>
    <definedName name="ㅎㅎㅎㅎㅎㅎ">#REF!</definedName>
    <definedName name="ㅎ휴ㅏ" localSheetId="0">OFFSET('방재팀 (2026)'!ㅎ퍼ㅏㅓㅏㅣㅣ,0,4,1,1)</definedName>
    <definedName name="ㅎ휴ㅏ">OFFSET([0]!ㅎ퍼ㅏㅓㅏㅣㅣ,0,4,1,1)</definedName>
    <definedName name="하득용">#REF!</definedName>
    <definedName name="하하">#REF!</definedName>
    <definedName name="학교">#N/A</definedName>
    <definedName name="학교2">#REF!</definedName>
    <definedName name="한승철" localSheetId="0">BlankMacro1</definedName>
    <definedName name="한승철">BlankMacro1</definedName>
    <definedName name="한의섭">#REF!</definedName>
    <definedName name="한의섭01">#REF!</definedName>
    <definedName name="할증">#REF!</definedName>
    <definedName name="할증FIT">#REF!</definedName>
    <definedName name="할증VV">#REF!</definedName>
    <definedName name="합_______________계">#REF!</definedName>
    <definedName name="합계">#REF!</definedName>
    <definedName name="해외무역팀일반관리비">#N/A</definedName>
    <definedName name="行見出し">#REF!</definedName>
    <definedName name="허">#REF!</definedName>
    <definedName name="허부덩" localSheetId="0">BlankMacro1</definedName>
    <definedName name="허부덩">BlankMacro1</definedName>
    <definedName name="허현볌" localSheetId="0">OFFSET('방재팀 (2026)'!File_Name,0,5,1,1)</definedName>
    <definedName name="허현볌">OFFSET([0]!File_Name,0,5,1,1)</definedName>
    <definedName name="헷스" localSheetId="0">BlankMacro1</definedName>
    <definedName name="헷스">BlankMacro1</definedName>
    <definedName name="현계">[6]근로영수증!$BD$16</definedName>
    <definedName name="현근로">[6]근로영수증!$AH$16</definedName>
    <definedName name="현상여">[6]근로영수증!$AP$16</definedName>
    <definedName name="현인정">[6]근로영수증!$AW$16</definedName>
    <definedName name="현장" hidden="1">#REF!</definedName>
    <definedName name="현장기술인력">[6]근로영수증!$AN$23</definedName>
    <definedName name="현지">#REF!</definedName>
    <definedName name="현징수계">[6]근로영수증!$BY$29</definedName>
    <definedName name="현징수세금">[6]근로영수증!$BH$29</definedName>
    <definedName name="현징수주민">[6]근로영수증!$BT$29</definedName>
    <definedName name="협력사인원" localSheetId="0">BlankMacro1</definedName>
    <definedName name="협력사인원">BlankMacro1</definedName>
    <definedName name="호">#REF!</definedName>
    <definedName name="호하ㅓ">#REF!</definedName>
    <definedName name="홍효상">#REF!</definedName>
    <definedName name="화ㅓㅣ허ㅏ">#REF!</definedName>
    <definedName name="환경안전">#N/A</definedName>
    <definedName name="환율">1100</definedName>
    <definedName name="환율1">#REF!</definedName>
    <definedName name="환율2">#REF!</definedName>
    <definedName name="환율3">#REF!</definedName>
    <definedName name="환전" localSheetId="0">BlankMacro1</definedName>
    <definedName name="환전">BlankMacro1</definedName>
    <definedName name="황승일">#N/A</definedName>
    <definedName name="황인우">#REF!</definedName>
    <definedName name="회사번호">[6]근로영수증!$M$11</definedName>
    <definedName name="회사자료">[6]회사내역!$B$4:$I$12</definedName>
    <definedName name="회수년">#REF!</definedName>
    <definedName name="훈민1">#REF!</definedName>
    <definedName name="훈민2">#REF!</definedName>
    <definedName name="휴일">[20]backdata1!$A$2:$A$21</definedName>
    <definedName name="ㅏㅏ">#REF!</definedName>
    <definedName name="ㅏㅏㅏㅏㅏ">#N/A</definedName>
    <definedName name="ㅐ">#REF!</definedName>
    <definedName name="ㅐㅐㅐㅐㅐ" localSheetId="0">OFFSET('방재팀 (2026)'!ㅎ퍼ㅏㅓㅏㅣㅣ,0,5,1,1)</definedName>
    <definedName name="ㅐㅐㅐㅐㅐ">OFFSET([0]!ㅎ퍼ㅏㅓㅏㅣㅣ,0,5,1,1)</definedName>
    <definedName name="ㅐㅗㅅ">#REF!</definedName>
    <definedName name="ㅑ3081">#REF!</definedName>
    <definedName name="ㅓ" localSheetId="0">OFFSET('방재팀 (2026)'!ㄴㄹㅇ,0,6,1,1)</definedName>
    <definedName name="ㅓ">OFFSET([0]!ㄴㄹㅇ,0,6,1,1)</definedName>
    <definedName name="ㅓㅓㅓㅓ" localSheetId="0">BlankMacro1</definedName>
    <definedName name="ㅓㅓㅓㅓ">BlankMacro1</definedName>
    <definedName name="ㅕㅓ">#REF!</definedName>
    <definedName name="ㅗ">#N/A</definedName>
    <definedName name="ㅗ461">#REF!</definedName>
    <definedName name="ㅗㄷ" localSheetId="0">BlankMacro1</definedName>
    <definedName name="ㅗㄷ">BlankMacro1</definedName>
    <definedName name="ㅗ모ㅗㅓㅗ" localSheetId="0">BlankMacro1</definedName>
    <definedName name="ㅗ모ㅗㅓㅗ">BlankMacro1</definedName>
    <definedName name="ㅗ호ㅓㅏ" localSheetId="0">OFFSET('방재팀 (2026)'!ㅎ퍼ㅏㅓㅏㅣㅣ,0,4,1,1)</definedName>
    <definedName name="ㅗ호ㅓㅏ">OFFSET([0]!ㅎ퍼ㅏㅓㅏㅣㅣ,0,4,1,1)</definedName>
    <definedName name="ㅗㅗ">#REF!</definedName>
    <definedName name="ㅗㅗㅗㅗ" localSheetId="0">BlankMacro1</definedName>
    <definedName name="ㅗㅗㅗㅗ">BlankMacro1</definedName>
    <definedName name="ㅗㅗㅗㅗㅗㅗ">#N/A</definedName>
    <definedName name="ㅛ" localSheetId="0">BlankMacro1</definedName>
    <definedName name="ㅛ">BlankMacro1</definedName>
    <definedName name="ㅛ혀" localSheetId="0">BlankMacro1</definedName>
    <definedName name="ㅛ혀">BlankMacro1</definedName>
    <definedName name="ㅜㅜㅜㅡ">#REF!</definedName>
    <definedName name="ㅠ" localSheetId="0">OFFSET('방재팀 (2026)'!ㄴㄹㅇ,0,1,1,1)</definedName>
    <definedName name="ㅠ">OFFSET([0]!ㄴㄹㅇ,0,1,1,1)</definedName>
    <definedName name="ㅠㅍ허ㅗㅓㅏㅏㅓ" localSheetId="0">OFFSET('방재팀 (2026)'!ㅎ퍼ㅏㅓㅏㅣㅣ,0,1,1,1)</definedName>
    <definedName name="ㅠㅍ허ㅗㅓㅏㅏㅓ">OFFSET([0]!ㅎ퍼ㅏㅓㅏㅣㅣ,0,1,1,1)</definedName>
    <definedName name="ㅠㅠㅍㅍ츛" localSheetId="0">OFFSET('방재팀 (2026)'!ㅎ퍼ㅏㅓㅏㅣㅣ,0,3,1,1)</definedName>
    <definedName name="ㅠㅠㅍㅍ츛">OFFSET([0]!ㅎ퍼ㅏㅓㅏㅣㅣ,0,3,1,1)</definedName>
    <definedName name="ㅠㅠㅠ">#REF!</definedName>
    <definedName name="ㅠㅠㅠㅠ">#N/A</definedName>
    <definedName name="ㅡ" localSheetId="0">BlankMacro1</definedName>
    <definedName name="ㅡ">BlankMacro1</definedName>
    <definedName name="ㅡㅡ" localSheetId="0">BlankMacro1</definedName>
    <definedName name="ㅡㅡ">BlankMacro1</definedName>
    <definedName name="ㅣ" localSheetId="0">BlankMacro1</definedName>
    <definedName name="ㅣ">BlankMacro1</definedName>
    <definedName name="ㅣ쇼ㅕㅛ" localSheetId="0">OFFSET([0]!START,0,0,1,1)</definedName>
    <definedName name="ㅣ쇼ㅕㅛ">OFFSET([0]!START,0,0,1,1)</definedName>
    <definedName name="ㅣㅣㅐㅐㅔ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5" i="5" l="1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JO5" i="5"/>
  <c r="JP5" i="5"/>
  <c r="JQ5" i="5"/>
  <c r="JR5" i="5"/>
  <c r="JS5" i="5"/>
  <c r="JT5" i="5"/>
  <c r="JU5" i="5"/>
  <c r="JV5" i="5"/>
  <c r="JW5" i="5"/>
  <c r="JX5" i="5"/>
  <c r="JY5" i="5"/>
  <c r="JZ5" i="5"/>
  <c r="KA5" i="5"/>
  <c r="KB5" i="5"/>
  <c r="KC5" i="5"/>
  <c r="KD5" i="5"/>
  <c r="KE5" i="5"/>
  <c r="KF5" i="5"/>
  <c r="KG5" i="5"/>
  <c r="KH5" i="5"/>
  <c r="KI5" i="5"/>
  <c r="KJ5" i="5"/>
  <c r="KK5" i="5"/>
  <c r="KL5" i="5"/>
  <c r="KM5" i="5"/>
  <c r="KN5" i="5"/>
  <c r="KO5" i="5"/>
  <c r="KP5" i="5"/>
  <c r="KQ5" i="5"/>
  <c r="KR5" i="5"/>
  <c r="KS5" i="5"/>
  <c r="KT5" i="5"/>
  <c r="KU5" i="5"/>
  <c r="KV5" i="5"/>
  <c r="KW5" i="5"/>
  <c r="KX5" i="5"/>
  <c r="KY5" i="5"/>
  <c r="KZ5" i="5"/>
  <c r="LA5" i="5"/>
  <c r="LB5" i="5"/>
  <c r="LC5" i="5"/>
  <c r="LD5" i="5"/>
  <c r="LE5" i="5"/>
  <c r="LF5" i="5"/>
  <c r="LG5" i="5"/>
  <c r="LH5" i="5"/>
  <c r="LI5" i="5"/>
  <c r="LJ5" i="5"/>
  <c r="LK5" i="5"/>
  <c r="LL5" i="5"/>
  <c r="LM5" i="5"/>
  <c r="LN5" i="5"/>
  <c r="LO5" i="5"/>
  <c r="LP5" i="5"/>
  <c r="LQ5" i="5"/>
  <c r="LR5" i="5"/>
  <c r="LS5" i="5"/>
  <c r="LT5" i="5"/>
  <c r="LU5" i="5"/>
  <c r="LV5" i="5"/>
  <c r="LW5" i="5"/>
  <c r="LX5" i="5"/>
  <c r="LY5" i="5"/>
  <c r="LZ5" i="5"/>
  <c r="MA5" i="5"/>
  <c r="MB5" i="5"/>
  <c r="MC5" i="5"/>
  <c r="MD5" i="5"/>
  <c r="ME5" i="5"/>
  <c r="MF5" i="5"/>
  <c r="MG5" i="5"/>
  <c r="MH5" i="5"/>
  <c r="MI5" i="5"/>
  <c r="MJ5" i="5"/>
  <c r="MK5" i="5"/>
  <c r="ML5" i="5"/>
  <c r="MM5" i="5"/>
  <c r="MN5" i="5"/>
  <c r="MO5" i="5"/>
  <c r="MP5" i="5"/>
  <c r="MQ5" i="5"/>
  <c r="MR5" i="5"/>
  <c r="MS5" i="5"/>
  <c r="MT5" i="5"/>
  <c r="MU5" i="5"/>
  <c r="MV5" i="5"/>
  <c r="MW5" i="5"/>
  <c r="MX5" i="5"/>
  <c r="MY5" i="5"/>
  <c r="MZ5" i="5"/>
  <c r="NA5" i="5"/>
  <c r="NB5" i="5"/>
  <c r="NC5" i="5"/>
  <c r="ND5" i="5"/>
  <c r="NE5" i="5"/>
  <c r="NF5" i="5"/>
  <c r="NG5" i="5"/>
  <c r="NH5" i="5"/>
  <c r="NI5" i="5"/>
  <c r="NJ5" i="5"/>
  <c r="NK5" i="5"/>
  <c r="NL5" i="5"/>
  <c r="NM5" i="5"/>
  <c r="NN5" i="5"/>
  <c r="NO5" i="5"/>
  <c r="NP5" i="5"/>
  <c r="NQ5" i="5"/>
  <c r="NR5" i="5"/>
  <c r="NS5" i="5"/>
  <c r="NT5" i="5"/>
  <c r="NU5" i="5"/>
  <c r="NV5" i="5"/>
  <c r="NW5" i="5"/>
  <c r="NX5" i="5"/>
  <c r="NY5" i="5"/>
  <c r="NZ5" i="5"/>
  <c r="OA5" i="5"/>
  <c r="OB5" i="5"/>
  <c r="OC5" i="5"/>
  <c r="OD5" i="5"/>
  <c r="OE5" i="5"/>
  <c r="OF5" i="5"/>
  <c r="OG5" i="5"/>
  <c r="OH5" i="5"/>
  <c r="AH5" i="5"/>
  <c r="T8" i="5" l="1"/>
  <c r="T7" i="5"/>
  <c r="T6" i="5"/>
  <c r="U6" i="5"/>
  <c r="AC6" i="5" l="1"/>
  <c r="AA6" i="5" l="1"/>
  <c r="AB6" i="5"/>
  <c r="Z6" i="5"/>
  <c r="AD6" i="5"/>
  <c r="D1" i="5" l="1"/>
  <c r="S4" i="5" l="1"/>
  <c r="A9" i="5" l="1"/>
  <c r="AD9" i="5"/>
  <c r="AC9" i="5"/>
  <c r="AB9" i="5"/>
  <c r="AA9" i="5"/>
  <c r="Z9" i="5"/>
  <c r="Y9" i="5"/>
  <c r="X9" i="5"/>
  <c r="W9" i="5"/>
  <c r="V9" i="5"/>
  <c r="U9" i="5"/>
  <c r="T9" i="5"/>
  <c r="S9" i="5"/>
  <c r="AD8" i="5"/>
  <c r="AC8" i="5"/>
  <c r="AB8" i="5"/>
  <c r="AA8" i="5"/>
  <c r="Z8" i="5"/>
  <c r="Y8" i="5"/>
  <c r="X8" i="5"/>
  <c r="W8" i="5"/>
  <c r="V8" i="5"/>
  <c r="U8" i="5"/>
  <c r="S8" i="5"/>
  <c r="A8" i="5"/>
  <c r="AD7" i="5"/>
  <c r="AC7" i="5"/>
  <c r="AB7" i="5"/>
  <c r="AA7" i="5"/>
  <c r="Z7" i="5"/>
  <c r="Y7" i="5"/>
  <c r="X7" i="5"/>
  <c r="W7" i="5"/>
  <c r="V7" i="5"/>
  <c r="U7" i="5"/>
  <c r="S7" i="5"/>
  <c r="A7" i="5"/>
  <c r="Y6" i="5"/>
  <c r="X6" i="5"/>
  <c r="W6" i="5"/>
  <c r="V6" i="5"/>
  <c r="S6" i="5"/>
  <c r="A6" i="5"/>
  <c r="P5" i="5"/>
  <c r="O5" i="5"/>
  <c r="K5" i="5"/>
  <c r="J5" i="5"/>
  <c r="ND3" i="5"/>
  <c r="LZ3" i="5"/>
  <c r="KU3" i="5"/>
  <c r="JQ3" i="5"/>
  <c r="IL3" i="5"/>
  <c r="HG3" i="5"/>
  <c r="GC3" i="5"/>
  <c r="EX3" i="5"/>
  <c r="DT3" i="5"/>
  <c r="CO3" i="5"/>
  <c r="BM3" i="5"/>
  <c r="AH3" i="5"/>
  <c r="AE6" i="5" l="1"/>
  <c r="L7" i="5"/>
  <c r="V10" i="5"/>
  <c r="AD10" i="5"/>
  <c r="AE8" i="5"/>
  <c r="AE9" i="5"/>
  <c r="W10" i="5"/>
  <c r="F6" i="5"/>
  <c r="L6" i="5"/>
  <c r="H7" i="5"/>
  <c r="G6" i="5"/>
  <c r="J7" i="5"/>
  <c r="J6" i="5"/>
  <c r="J8" i="5"/>
  <c r="G7" i="5"/>
  <c r="J9" i="5"/>
  <c r="U10" i="5"/>
  <c r="Y10" i="5"/>
  <c r="AC10" i="5"/>
  <c r="Z10" i="5"/>
  <c r="AE7" i="5"/>
  <c r="G9" i="5"/>
  <c r="I8" i="5"/>
  <c r="I7" i="5"/>
  <c r="I6" i="5"/>
  <c r="F9" i="5"/>
  <c r="L8" i="5"/>
  <c r="H8" i="5"/>
  <c r="I9" i="5"/>
  <c r="G8" i="5"/>
  <c r="F7" i="5"/>
  <c r="H6" i="5"/>
  <c r="H9" i="5"/>
  <c r="F8" i="5"/>
  <c r="S10" i="5"/>
  <c r="AA10" i="5"/>
  <c r="T10" i="5"/>
  <c r="X10" i="5"/>
  <c r="AB10" i="5"/>
  <c r="L9" i="5"/>
  <c r="Q8" i="5" l="1"/>
  <c r="Q6" i="5"/>
  <c r="K6" i="5"/>
  <c r="N6" i="5" s="1"/>
  <c r="R6" i="5" s="1"/>
  <c r="AE10" i="5"/>
  <c r="K8" i="5"/>
  <c r="K9" i="5"/>
  <c r="Q9" i="5"/>
  <c r="K7" i="5"/>
  <c r="N7" i="5" s="1"/>
  <c r="R7" i="5" s="1"/>
  <c r="AF7" i="5" s="1"/>
  <c r="Q7" i="5"/>
  <c r="N9" i="5" l="1"/>
  <c r="R9" i="5" s="1"/>
  <c r="AF9" i="5" s="1"/>
  <c r="AF6" i="5"/>
  <c r="AG6" i="5"/>
  <c r="AG7" i="5"/>
  <c r="N8" i="5"/>
  <c r="R8" i="5" s="1"/>
  <c r="AG9" i="5" l="1"/>
  <c r="R10" i="5"/>
  <c r="AG10" i="5" s="1"/>
  <c r="AF8" i="5"/>
  <c r="AF10" i="5" s="1"/>
  <c r="AG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E663DFCD-86C8-4E6A-90DF-8FDE8DC924C5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O4" authorId="0" shapeId="0" xr:uid="{07EBEB8F-BD85-4C9E-9AF9-1A36FD48DC60}">
      <text>
        <r>
          <rPr>
            <b/>
            <sz val="9"/>
            <color indexed="81"/>
            <rFont val="돋움"/>
            <family val="3"/>
            <charset val="129"/>
          </rPr>
          <t>연차정산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AC17D0FF-A31E-439E-A69E-6D8C8D5B60FD}">
      <text>
        <r>
          <rPr>
            <sz val="9"/>
            <color indexed="81"/>
            <rFont val="Tahoma"/>
            <family val="2"/>
          </rPr>
          <t>- 1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재직자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- 2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재직자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재직자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>(26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
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미사용분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수령
</t>
        </r>
        <r>
          <rPr>
            <sz val="9"/>
            <color indexed="81"/>
            <rFont val="Tahoma"/>
            <family val="2"/>
          </rPr>
          <t xml:space="preserve">  </t>
        </r>
      </text>
    </comment>
    <comment ref="R4" authorId="0" shapeId="0" xr:uid="{8F41D734-0CF9-4582-A9E3-53C3DCAEF52C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" authorId="0" shapeId="0" xr:uid="{BD6527F1-85CC-4C53-86EE-0EAA9924DBE8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연차정산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완료자는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재작년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</text>
    </comment>
    <comment ref="K5" authorId="0" shapeId="0" xr:uid="{6E9457BD-929D-475C-A888-5AB30D45DEC1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작년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" authorId="0" shapeId="0" xr:uid="{CF32AF70-1B3A-4703-8231-456C9320E136}">
      <text>
        <r>
          <rPr>
            <sz val="9"/>
            <color indexed="81"/>
            <rFont val="돋움"/>
            <family val="3"/>
            <charset val="129"/>
          </rPr>
          <t>- 입사일 기준 만 3년 이상 근속 자 
2년에 1개씩 가산 (최대 25개)</t>
        </r>
      </text>
    </comment>
    <comment ref="M5" authorId="0" shapeId="0" xr:uid="{F23E3B4C-D5BC-4121-9DB7-05D2008B4738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발생연도에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
 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월차
</t>
        </r>
        <r>
          <rPr>
            <sz val="9"/>
            <color indexed="81"/>
            <rFont val="Tahoma"/>
            <family val="2"/>
          </rPr>
          <t>- 2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<sst xmlns="http://schemas.openxmlformats.org/spreadsheetml/2006/main" count="114" uniqueCount="59">
  <si>
    <t>연차 발생 기준일 ▶</t>
    <phoneticPr fontId="5" type="noConversion"/>
  </si>
  <si>
    <t>no</t>
    <phoneticPr fontId="5" type="noConversion"/>
  </si>
  <si>
    <t>사원번호</t>
  </si>
  <si>
    <t>성명</t>
  </si>
  <si>
    <t>소속</t>
  </si>
  <si>
    <t>입사일자</t>
    <phoneticPr fontId="5" type="noConversion"/>
  </si>
  <si>
    <t>근속기간</t>
    <phoneticPr fontId="5" type="noConversion"/>
  </si>
  <si>
    <t>발생연차</t>
    <phoneticPr fontId="5" type="noConversion"/>
  </si>
  <si>
    <t>계</t>
    <phoneticPr fontId="5" type="noConversion"/>
  </si>
  <si>
    <t>2년차</t>
    <phoneticPr fontId="5" type="noConversion"/>
  </si>
  <si>
    <t>사용</t>
    <phoneticPr fontId="5" type="noConversion"/>
  </si>
  <si>
    <t>총 일수</t>
    <phoneticPr fontId="5" type="noConversion"/>
  </si>
  <si>
    <t>연</t>
    <phoneticPr fontId="5" type="noConversion"/>
  </si>
  <si>
    <t>월</t>
    <phoneticPr fontId="5" type="noConversion"/>
  </si>
  <si>
    <t>일</t>
    <phoneticPr fontId="5" type="noConversion"/>
  </si>
  <si>
    <t>추가</t>
    <phoneticPr fontId="5" type="noConversion"/>
  </si>
  <si>
    <t>월차</t>
    <phoneticPr fontId="5" type="noConversion"/>
  </si>
  <si>
    <t>정산</t>
    <phoneticPr fontId="5" type="noConversion"/>
  </si>
  <si>
    <t>가능연차</t>
    <phoneticPr fontId="5" type="noConversion"/>
  </si>
  <si>
    <t>1월</t>
    <phoneticPr fontId="5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</si>
  <si>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</si>
  <si>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</si>
  <si>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</si>
  <si>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</si>
  <si>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</si>
  <si>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</si>
  <si>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</si>
  <si>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</si>
  <si>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</si>
  <si>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</si>
  <si>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</si>
  <si>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사용연차</t>
    <phoneticPr fontId="5" type="noConversion"/>
  </si>
  <si>
    <t>잔여일수</t>
    <phoneticPr fontId="5" type="noConversion"/>
  </si>
  <si>
    <t>소진율</t>
    <phoneticPr fontId="5" type="noConversion"/>
  </si>
  <si>
    <t>[FM]판교종합연구원 시설팀</t>
  </si>
  <si>
    <t>2018042451</t>
  </si>
  <si>
    <t>석현민</t>
  </si>
  <si>
    <t>2021061451</t>
  </si>
  <si>
    <t>김병조</t>
  </si>
  <si>
    <t>2022051052</t>
  </si>
  <si>
    <t>윤종엽</t>
  </si>
  <si>
    <t>박보융</t>
    <phoneticPr fontId="4" type="noConversion"/>
  </si>
  <si>
    <t>소진연차</t>
    <phoneticPr fontId="5" type="noConversion"/>
  </si>
  <si>
    <t>2023071752</t>
    <phoneticPr fontId="4" type="noConversion"/>
  </si>
  <si>
    <t>연</t>
    <phoneticPr fontId="4" type="noConversion"/>
  </si>
  <si>
    <t>연</t>
    <phoneticPr fontId="4" type="noConversion"/>
  </si>
  <si>
    <t>연</t>
    <phoneticPr fontId="4" type="noConversion"/>
  </si>
  <si>
    <t>연</t>
    <phoneticPr fontId="4" type="noConversion"/>
  </si>
  <si>
    <t>일</t>
  </si>
  <si>
    <t>일</t>
    <phoneticPr fontId="4" type="noConversion"/>
  </si>
  <si>
    <t>월</t>
  </si>
  <si>
    <t>화</t>
  </si>
  <si>
    <t>수</t>
  </si>
  <si>
    <t>목</t>
  </si>
  <si>
    <t>금</t>
  </si>
  <si>
    <t>토</t>
  </si>
  <si>
    <t>반</t>
    <phoneticPr fontId="4" type="noConversion"/>
  </si>
  <si>
    <t>연</t>
    <phoneticPr fontId="4" type="noConversion"/>
  </si>
  <si>
    <t>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</si>
</sst>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General&quot;일&quot;"/>
    <numFmt numFmtId="177" formatCode="General&quot;년&quot;"/>
    <numFmt numFmtId="178" formatCode="General&quot;개월&quot;"/>
    <numFmt numFmtId="179" formatCode="0.0"/>
    <numFmt numFmtId="180" formatCode="0.0%"/>
    <numFmt numFmtId="181" formatCode="General&quot;월&quot;"/>
    <numFmt numFmtId="182" formatCode="d"/>
    <numFmt numFmtId="183" formatCode="aaa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theme="1"/>
      <name val="돋움체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59">
    <xf numFmtId="0" fontId="0" fillId="0" borderId="0" xfId="0">
      <alignment vertical="center"/>
    </xf>
    <xf numFmtId="0" fontId="3" fillId="2" borderId="0" xfId="1" applyFont="1" applyFill="1" applyAlignment="1">
      <alignment horizontal="centerContinuous" vertical="center"/>
    </xf>
    <xf numFmtId="14" fontId="3" fillId="3" borderId="0" xfId="1" applyNumberFormat="1" applyFont="1" applyFill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9" fontId="6" fillId="0" borderId="0" xfId="2" applyFont="1" applyFill="1" applyAlignment="1">
      <alignment horizontal="center" vertical="center"/>
    </xf>
    <xf numFmtId="0" fontId="3" fillId="0" borderId="0" xfId="1" applyFont="1" applyAlignment="1">
      <alignment horizontal="centerContinuous" vertical="center"/>
    </xf>
    <xf numFmtId="14" fontId="3" fillId="0" borderId="0" xfId="1" applyNumberFormat="1" applyFont="1" applyAlignment="1">
      <alignment horizontal="center" vertical="center" shrinkToFit="1"/>
    </xf>
    <xf numFmtId="14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14" fontId="6" fillId="0" borderId="0" xfId="1" applyNumberFormat="1" applyFont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wrapText="1" shrinkToFi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top" shrinkToFit="1"/>
    </xf>
    <xf numFmtId="0" fontId="3" fillId="2" borderId="1" xfId="1" applyFont="1" applyFill="1" applyBorder="1" applyAlignment="1">
      <alignment horizontal="center" vertical="center" shrinkToFit="1"/>
    </xf>
    <xf numFmtId="0" fontId="3" fillId="4" borderId="1" xfId="1" applyFont="1" applyFill="1" applyBorder="1" applyAlignment="1">
      <alignment horizontal="center" vertical="center" shrinkToFit="1"/>
    </xf>
    <xf numFmtId="176" fontId="8" fillId="0" borderId="0" xfId="3" applyNumberFormat="1" applyFont="1" applyFill="1" applyBorder="1" applyAlignment="1">
      <alignment vertical="center" shrinkToFit="1"/>
    </xf>
    <xf numFmtId="177" fontId="8" fillId="0" borderId="0" xfId="3" applyNumberFormat="1" applyFont="1" applyFill="1" applyBorder="1" applyAlignment="1">
      <alignment horizontal="right" vertical="center" shrinkToFit="1"/>
    </xf>
    <xf numFmtId="178" fontId="8" fillId="0" borderId="0" xfId="3" applyNumberFormat="1" applyFont="1" applyFill="1" applyBorder="1" applyAlignment="1">
      <alignment horizontal="right" vertical="center" shrinkToFit="1"/>
    </xf>
    <xf numFmtId="179" fontId="8" fillId="0" borderId="0" xfId="3" applyNumberFormat="1" applyFont="1" applyFill="1" applyBorder="1" applyAlignment="1">
      <alignment vertical="center" shrinkToFit="1"/>
    </xf>
    <xf numFmtId="179" fontId="8" fillId="0" borderId="0" xfId="4" applyNumberFormat="1" applyFont="1">
      <alignment vertical="center"/>
    </xf>
    <xf numFmtId="180" fontId="8" fillId="0" borderId="0" xfId="2" applyNumberFormat="1" applyFont="1" applyFill="1">
      <alignment vertical="center"/>
    </xf>
    <xf numFmtId="0" fontId="3" fillId="5" borderId="8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Continuous" vertical="center"/>
    </xf>
    <xf numFmtId="179" fontId="3" fillId="5" borderId="8" xfId="1" applyNumberFormat="1" applyFont="1" applyFill="1" applyBorder="1" applyAlignment="1">
      <alignment horizontal="centerContinuous" vertical="center"/>
    </xf>
    <xf numFmtId="179" fontId="9" fillId="5" borderId="8" xfId="4" applyNumberFormat="1" applyFont="1" applyFill="1" applyBorder="1">
      <alignment vertical="center"/>
    </xf>
    <xf numFmtId="0" fontId="10" fillId="0" borderId="0" xfId="1" applyFont="1" applyAlignment="1">
      <alignment horizontal="center" vertical="center"/>
    </xf>
    <xf numFmtId="9" fontId="3" fillId="2" borderId="2" xfId="2" applyFont="1" applyFill="1" applyBorder="1" applyAlignment="1">
      <alignment horizontal="center" vertical="center" shrinkToFit="1"/>
    </xf>
    <xf numFmtId="180" fontId="9" fillId="5" borderId="9" xfId="2" applyNumberFormat="1" applyFont="1" applyFill="1" applyBorder="1">
      <alignment vertical="center"/>
    </xf>
    <xf numFmtId="0" fontId="15" fillId="0" borderId="0" xfId="0" applyFont="1" applyAlignment="1">
      <alignment horizontal="center" vertical="center" shrinkToFit="1"/>
    </xf>
    <xf numFmtId="182" fontId="16" fillId="6" borderId="13" xfId="0" applyNumberFormat="1" applyFont="1" applyFill="1" applyBorder="1" applyAlignment="1">
      <alignment horizontal="center" vertical="center"/>
    </xf>
    <xf numFmtId="182" fontId="16" fillId="6" borderId="14" xfId="0" applyNumberFormat="1" applyFont="1" applyFill="1" applyBorder="1" applyAlignment="1">
      <alignment horizontal="center" vertical="center"/>
    </xf>
    <xf numFmtId="182" fontId="16" fillId="6" borderId="15" xfId="0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6" fillId="0" borderId="0" xfId="1" quotePrefix="1" applyFont="1" applyAlignment="1">
      <alignment horizontal="center" vertical="center"/>
    </xf>
    <xf numFmtId="183" fontId="17" fillId="6" borderId="13" xfId="0" applyNumberFormat="1" applyFont="1" applyFill="1" applyBorder="1" applyAlignment="1">
      <alignment horizontal="center" vertical="center"/>
    </xf>
    <xf numFmtId="183" fontId="17" fillId="6" borderId="14" xfId="0" applyNumberFormat="1" applyFont="1" applyFill="1" applyBorder="1" applyAlignment="1">
      <alignment horizontal="center" vertical="center"/>
    </xf>
    <xf numFmtId="183" fontId="17" fillId="6" borderId="15" xfId="0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shrinkToFit="1"/>
    </xf>
    <xf numFmtId="0" fontId="3" fillId="2" borderId="7" xfId="1" applyFont="1" applyFill="1" applyBorder="1" applyAlignment="1">
      <alignment horizontal="center" vertical="center" shrinkToFit="1"/>
    </xf>
    <xf numFmtId="14" fontId="3" fillId="2" borderId="6" xfId="1" applyNumberFormat="1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/>
    </xf>
    <xf numFmtId="181" fontId="18" fillId="6" borderId="17" xfId="0" applyNumberFormat="1" applyFont="1" applyFill="1" applyBorder="1" applyAlignment="1">
      <alignment horizontal="center" vertical="center"/>
    </xf>
    <xf numFmtId="181" fontId="18" fillId="6" borderId="11" xfId="0" applyNumberFormat="1" applyFont="1" applyFill="1" applyBorder="1" applyAlignment="1">
      <alignment horizontal="center" vertical="center"/>
    </xf>
    <xf numFmtId="181" fontId="18" fillId="6" borderId="16" xfId="0" applyNumberFormat="1" applyFont="1" applyFill="1" applyBorder="1" applyAlignment="1">
      <alignment horizontal="center" vertical="center"/>
    </xf>
    <xf numFmtId="181" fontId="18" fillId="6" borderId="10" xfId="0" applyNumberFormat="1" applyFont="1" applyFill="1" applyBorder="1" applyAlignment="1">
      <alignment horizontal="center" vertical="center"/>
    </xf>
    <xf numFmtId="181" fontId="18" fillId="6" borderId="12" xfId="0" applyNumberFormat="1" applyFont="1" applyFill="1" applyBorder="1" applyAlignment="1">
      <alignment horizontal="center" vertical="center"/>
    </xf>
  </cellXfs>
  <cellStyles count="5">
    <cellStyle name="백분율 4" xfId="2" xr:uid="{CD54D17A-219A-4AFA-9BF1-835A9734A011}"/>
    <cellStyle name="쉼표 [0] 2 11 2" xfId="3" xr:uid="{815F3E94-79A9-4D46-9434-40EEBC967B4C}"/>
    <cellStyle name="표준" xfId="0" builtinId="0"/>
    <cellStyle name="표준 12 2" xfId="4" xr:uid="{EF364CA5-8DCF-4ED9-AD34-A4646A34F05F}"/>
    <cellStyle name="표준 6" xfId="1" xr:uid="{8DB4604C-4057-4CC5-A5AB-60290F5B03E1}"/>
  </cellStyles>
  <dxfs count="10">
    <dxf>
      <font>
        <b/>
        <i val="0"/>
        <color theme="8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rgb="FFFDB0A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8" tint="-0.24994659260841701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font>
        <b/>
        <i val="0"/>
        <color rgb="FF00B0F0"/>
      </font>
    </dxf>
    <dxf>
      <font>
        <b/>
        <i val="0"/>
        <color theme="7" tint="-0.24994659260841701"/>
      </font>
    </dxf>
    <dxf>
      <fill>
        <patternFill>
          <bgColor rgb="FFFF5050"/>
        </patternFill>
      </fill>
    </dxf>
    <dxf>
      <numFmt numFmtId="18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6;&#4455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&#52264;&#52992;&#50612;&#49828;\&#12622;%20&#44553;&#50668;&#45236;&#50669;\&#9733;2017&#45380;_FM&#49324;&#50629;&#54016;(&#54788;&#51109;&#48324;)_&#51064;&#50896;&#50672;&#52264;&#44288;&#47532;&#54364;_&#52572;&#51333;_02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373;\Public\windows\TEMP\windows\TEMP\&#45800;&#44032;&#51312;&#51221;&#50640;&#12288;&#46384;&#47480;&#12288;&#65317;&#65295;&#65331;&#12288;&#44032;&#4404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RZNAS01\GroupData\park%20Seoul\P&amp;%20L\OpModBas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entive2000&#45380;2&#50900;(Auto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fp50299\leesj\P2000-1\0001\DATA\&#53748;&#51649;&#50689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51221;&#48124;\new2004&#49464;&#50529;&#4422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-PC\sky-drv\&#44053;&#54805;&#44540;\2.&#50896;&#44032;\7&#50900;\7&#50900;%20&#50696;&#49345;\&#50696;&#49345;%20&#49892;&#51201;%20&#48516;&#49437;(7&#50900;)&#51109;&#475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ky\my%20documents\WINDOWS\TEMP\&#53748;&#51649;&#50689;&#49688;(&#51060;&#51333;&#47749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klid\2&#50629;&#52404;\&#51312;&#49440;&#51068;&#48372;&#49324;\&#53685;&#54633;&#51088;&#47308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277;&#44277;&#51648;&#50896;&#54016;\&#44277;&#44277;&#51648;&#50896;&#54016;&#49436;&#47448;\&#51312;&#49440;&#51068;&#48372;&#49324;\&#44060;&#48324;&#44228;&#50557;\&#51312;&#49440;&#51068;&#48372;&#44060;&#48324;&#44228;&#50557;&#49436;2003~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RZNAS01\GroupData\My%20Documents\2001&#51473;&#49328;&#52789;&#49464;&#44221;&#4404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OREA.KOREA-5A6AFA5C9\Local%20Settings\Temporary%20Internet%20Files\Content.IE5\SD2R0XIV\&#44053;&#54805;&#44540;\2.&#50896;&#44032;\7&#50900;\7&#50900;%20&#50696;&#49345;\&#50696;&#49345;%20&#49892;&#51201;%20&#48516;&#49437;(7&#50900;)&#51109;&#4754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64;&#52380;\C\P2000-2\0002\DATA\&#53748;&#51649;&#50689;&#49688;&#5161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ky\my%20documents\payprog\car_LG\0020\data\&#53748;&#51649;&#50689;&#4968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server\&#51064;&#49324;&#44592;&#54925;\&#51076;&#49884;\0203_&#51064;&#50896;&#54788;&#54889;&#54364;\&#51064;&#50896;&#54788;&#54889;_V0.98_14030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324;&#50857;&#51088;/Desktop/&#45236;&#47928;&#49436;/1&#44221;&#50689;&#44288;&#47532;/2&#49324;&#47924;/1&#48660;&#47196;&#44536;&#52392;&#48512;/&#51088;&#46041;&#44228;&#49328;&#44592;/&#53748;&#51649;&#44552;&#44228;&#49328;&#44592;(20160320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40;&#55148;\&#44277;&#50976;%20&#47928;&#49436;\&#44277;&#53685;\&#49884;&#49444;&#44288;&#47532;&#51064;%20&#44288;&#47532;&#45824;&#51109;\&#49884;&#49444;&#51649;&#50896;&#51648;&#50669;&#48152;&#48324;&#51216;&#54252;&#47749;&#49464;(081028&#51068;&#54788;&#51116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345;&#55148;\P2000-3\0040\data\&#53748;&#51649;&#50689;&#496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0672;&#52264;&#44288;&#47532;/&#51333;&#54633;&#44540;&#53468;%20&#50577;&#49885;%20v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원부"/>
      <sheetName val="Sheet1"/>
      <sheetName val="Sheet2"/>
      <sheetName val="Sheet3"/>
    </sheetNames>
    <sheetDataSet>
      <sheetData sheetId="0">
        <row r="1">
          <cell r="B1" t="str">
            <v>입,퇴,재직자현황</v>
          </cell>
          <cell r="H1" t="str">
            <v>입사서류</v>
          </cell>
          <cell r="N1" t="str">
            <v>인적사항</v>
          </cell>
        </row>
        <row r="2">
          <cell r="B2" t="str">
            <v>부서</v>
          </cell>
          <cell r="C2" t="str">
            <v>입사</v>
          </cell>
          <cell r="D2" t="str">
            <v>입사일</v>
          </cell>
          <cell r="E2" t="str">
            <v>퇴사</v>
          </cell>
          <cell r="F2" t="str">
            <v>퇴사일</v>
          </cell>
          <cell r="G2" t="str">
            <v>재직</v>
          </cell>
          <cell r="H2" t="str">
            <v>근로계약</v>
          </cell>
          <cell r="I2" t="str">
            <v>이력서</v>
          </cell>
          <cell r="J2" t="str">
            <v>등본</v>
          </cell>
          <cell r="K2" t="str">
            <v>사진</v>
          </cell>
          <cell r="L2" t="str">
            <v>신원보증서</v>
          </cell>
          <cell r="M2" t="str">
            <v>본사발송</v>
          </cell>
          <cell r="N2" t="str">
            <v>성명</v>
          </cell>
          <cell r="O2" t="str">
            <v>주민등록번호</v>
          </cell>
          <cell r="P2" t="str">
            <v>나이</v>
          </cell>
          <cell r="Q2" t="str">
            <v>우편번호</v>
          </cell>
          <cell r="R2" t="str">
            <v>도</v>
          </cell>
          <cell r="S2" t="str">
            <v>시</v>
          </cell>
          <cell r="T2" t="str">
            <v>구</v>
          </cell>
          <cell r="U2" t="str">
            <v>동</v>
          </cell>
          <cell r="V2" t="str">
            <v>번지</v>
          </cell>
          <cell r="W2" t="str">
            <v>아파트명</v>
          </cell>
          <cell r="X2" t="str">
            <v>통(동)</v>
          </cell>
          <cell r="Y2" t="str">
            <v>반(호)</v>
          </cell>
          <cell r="Z2" t="str">
            <v>자택</v>
          </cell>
          <cell r="AA2" t="str">
            <v>핸드폰</v>
          </cell>
          <cell r="AB2" t="str">
            <v>호출기</v>
          </cell>
          <cell r="AC2" t="str">
            <v>기혼</v>
          </cell>
          <cell r="AD2" t="str">
            <v>미혼</v>
          </cell>
          <cell r="AE2" t="str">
            <v>이혼</v>
          </cell>
          <cell r="AF2" t="str">
            <v>전세</v>
          </cell>
          <cell r="AG2" t="str">
            <v>자가</v>
          </cell>
          <cell r="AH2" t="str">
            <v>등산</v>
          </cell>
          <cell r="AI2" t="str">
            <v>낚시</v>
          </cell>
          <cell r="AJ2" t="str">
            <v>여행</v>
          </cell>
          <cell r="AK2" t="str">
            <v>축구</v>
          </cell>
          <cell r="AL2" t="str">
            <v>독서</v>
          </cell>
          <cell r="AM2" t="str">
            <v>당구</v>
          </cell>
          <cell r="AN2" t="str">
            <v>볼링</v>
          </cell>
          <cell r="AO2" t="str">
            <v>잡기</v>
          </cell>
          <cell r="AP2" t="str">
            <v>기타</v>
          </cell>
          <cell r="AQ2" t="str">
            <v>불교</v>
          </cell>
          <cell r="AR2" t="str">
            <v>천주교</v>
          </cell>
          <cell r="AS2" t="str">
            <v>기독교</v>
          </cell>
          <cell r="AT2" t="str">
            <v>장로교</v>
          </cell>
          <cell r="AU2" t="str">
            <v>기타</v>
          </cell>
          <cell r="AV2" t="str">
            <v>음주량</v>
          </cell>
          <cell r="AW2" t="str">
            <v>흡연</v>
          </cell>
          <cell r="AX2" t="str">
            <v>자가</v>
          </cell>
          <cell r="AY2" t="str">
            <v>전세</v>
          </cell>
          <cell r="AZ2" t="str">
            <v>차분</v>
          </cell>
          <cell r="BA2" t="str">
            <v>보통</v>
          </cell>
          <cell r="BB2" t="str">
            <v>궤팍</v>
          </cell>
          <cell r="BC2" t="str">
            <v>급함</v>
          </cell>
          <cell r="BD2" t="str">
            <v>주사</v>
          </cell>
          <cell r="BE2" t="str">
            <v>대인관계</v>
          </cell>
          <cell r="BF2" t="str">
            <v>지도력</v>
          </cell>
          <cell r="BG2" t="str">
            <v>성실성</v>
          </cell>
          <cell r="BH2" t="str">
            <v>성격이급함</v>
          </cell>
          <cell r="BI2" t="str">
            <v>차분치못함</v>
          </cell>
          <cell r="BJ2" t="str">
            <v>주사가있음</v>
          </cell>
          <cell r="BK2" t="str">
            <v>기타</v>
          </cell>
          <cell r="BL2" t="str">
            <v>생활력(상,중,하)</v>
          </cell>
          <cell r="BM2" t="str">
            <v>맏벌이</v>
          </cell>
          <cell r="BN2" t="str">
            <v>가족수입</v>
          </cell>
          <cell r="BO2" t="str">
            <v>조부</v>
          </cell>
          <cell r="BP2" t="str">
            <v>조모</v>
          </cell>
          <cell r="BQ2" t="str">
            <v>부</v>
          </cell>
          <cell r="BR2" t="str">
            <v>모</v>
          </cell>
          <cell r="BS2" t="str">
            <v>처</v>
          </cell>
          <cell r="BT2" t="str">
            <v>남편</v>
          </cell>
          <cell r="BU2" t="str">
            <v>자1</v>
          </cell>
          <cell r="BV2" t="str">
            <v>자2</v>
          </cell>
          <cell r="BW2" t="str">
            <v>자3</v>
          </cell>
          <cell r="BX2" t="str">
            <v>형</v>
          </cell>
          <cell r="BY2" t="str">
            <v>남동생</v>
          </cell>
          <cell r="BZ2" t="str">
            <v>오빠</v>
          </cell>
          <cell r="CA2" t="str">
            <v>누나</v>
          </cell>
          <cell r="CB2" t="str">
            <v>여동생</v>
          </cell>
          <cell r="CC2" t="str">
            <v>동거인</v>
          </cell>
          <cell r="CD2" t="str">
            <v>관리</v>
          </cell>
          <cell r="CE2" t="str">
            <v>기계</v>
          </cell>
          <cell r="CF2" t="str">
            <v>전기</v>
          </cell>
          <cell r="CG2" t="str">
            <v>방제</v>
          </cell>
          <cell r="CH2" t="str">
            <v>통신</v>
          </cell>
          <cell r="CI2" t="str">
            <v>환경</v>
          </cell>
          <cell r="CJ2" t="str">
            <v>영선</v>
          </cell>
          <cell r="CK2" t="str">
            <v>조경</v>
          </cell>
          <cell r="CL2" t="str">
            <v>보안</v>
          </cell>
          <cell r="CM2" t="str">
            <v>안내</v>
          </cell>
          <cell r="CN2" t="str">
            <v>미화㈜</v>
          </cell>
          <cell r="CO2" t="str">
            <v>미화(야)</v>
          </cell>
          <cell r="CP2" t="str">
            <v>소장</v>
          </cell>
          <cell r="CQ2" t="str">
            <v>차장</v>
          </cell>
          <cell r="CR2" t="str">
            <v>과장</v>
          </cell>
          <cell r="CS2" t="str">
            <v>주임</v>
          </cell>
          <cell r="CT2" t="str">
            <v>감독</v>
          </cell>
          <cell r="CU2" t="str">
            <v>대장</v>
          </cell>
          <cell r="CV2" t="str">
            <v>반장</v>
          </cell>
          <cell r="CW2" t="str">
            <v>조장</v>
          </cell>
          <cell r="CX2" t="str">
            <v>사원</v>
          </cell>
          <cell r="CY2" t="str">
            <v>보일러취급기능사</v>
          </cell>
          <cell r="CZ2" t="str">
            <v>수당</v>
          </cell>
          <cell r="DA2" t="str">
            <v>보일러시공기능사</v>
          </cell>
          <cell r="DB2" t="str">
            <v>수당</v>
          </cell>
          <cell r="DC2" t="str">
            <v>사용시설안전관리자</v>
          </cell>
          <cell r="DD2" t="str">
            <v>수당</v>
          </cell>
          <cell r="DE2" t="str">
            <v>도시가스기능사</v>
          </cell>
          <cell r="DF2" t="str">
            <v>수당</v>
          </cell>
          <cell r="DG2" t="str">
            <v>가스산업기사</v>
          </cell>
          <cell r="DH2" t="str">
            <v>수당</v>
          </cell>
          <cell r="DI2" t="str">
            <v>소방설비산업기사</v>
          </cell>
          <cell r="DJ2" t="str">
            <v>수당</v>
          </cell>
          <cell r="DK2" t="str">
            <v>공조냉동기능사</v>
          </cell>
          <cell r="DL2" t="str">
            <v>수당</v>
          </cell>
          <cell r="DM2" t="str">
            <v>공조냉동산업기사</v>
          </cell>
          <cell r="DN2" t="str">
            <v>수당</v>
          </cell>
          <cell r="DO2" t="str">
            <v>고압가스기능사(액화산소)</v>
          </cell>
          <cell r="DP2" t="str">
            <v>수당</v>
          </cell>
          <cell r="DQ2" t="str">
            <v>위험물안전관리자</v>
          </cell>
          <cell r="DR2" t="str">
            <v>수당</v>
          </cell>
          <cell r="DS2" t="str">
            <v>수질환경산업기사</v>
          </cell>
          <cell r="DT2" t="str">
            <v>수당</v>
          </cell>
          <cell r="DU2" t="str">
            <v>산업안전산업기사</v>
          </cell>
          <cell r="DV2" t="str">
            <v>수당</v>
          </cell>
          <cell r="DW2" t="str">
            <v>전기기사</v>
          </cell>
          <cell r="DX2" t="str">
            <v>수당</v>
          </cell>
          <cell r="DY2" t="str">
            <v>전기기능사</v>
          </cell>
          <cell r="DZ2" t="str">
            <v>수당</v>
          </cell>
          <cell r="EA2" t="str">
            <v>전기공사산업기사</v>
          </cell>
          <cell r="EB2" t="str">
            <v>수당</v>
          </cell>
          <cell r="EC2" t="str">
            <v>전기공사기능사</v>
          </cell>
          <cell r="ED2" t="str">
            <v>수당</v>
          </cell>
          <cell r="EE2" t="str">
            <v>전자기기기능사</v>
          </cell>
          <cell r="EF2" t="str">
            <v>수당</v>
          </cell>
          <cell r="EG2" t="str">
            <v>무선설비기능사</v>
          </cell>
          <cell r="EH2" t="str">
            <v>수당</v>
          </cell>
          <cell r="EI2" t="str">
            <v>유선설비기능사</v>
          </cell>
          <cell r="EJ2" t="str">
            <v>수당</v>
          </cell>
          <cell r="EK2" t="str">
            <v>교환설비기능사</v>
          </cell>
          <cell r="EL2" t="str">
            <v>수당</v>
          </cell>
          <cell r="EM2" t="str">
            <v>열관리기능사</v>
          </cell>
          <cell r="EN2" t="str">
            <v>수당</v>
          </cell>
          <cell r="EO2" t="str">
            <v>방화관리자</v>
          </cell>
          <cell r="EP2" t="str">
            <v>수당</v>
          </cell>
          <cell r="EQ2" t="str">
            <v>주특기</v>
          </cell>
          <cell r="ER2" t="str">
            <v>운전면허</v>
          </cell>
          <cell r="ES2" t="str">
            <v>업무경력(월)</v>
          </cell>
          <cell r="ET2" t="str">
            <v>당직근무</v>
          </cell>
          <cell r="EU2" t="str">
            <v>전담업무분야</v>
          </cell>
          <cell r="EV2" t="str">
            <v>(갑)사의 평가</v>
          </cell>
          <cell r="EW2" t="str">
            <v>지시사항이행</v>
          </cell>
          <cell r="EX2" t="str">
            <v>업무처리능력</v>
          </cell>
          <cell r="EY2" t="str">
            <v>친절도</v>
          </cell>
          <cell r="EZ2" t="str">
            <v>복장</v>
          </cell>
          <cell r="FA2" t="str">
            <v>두발</v>
          </cell>
          <cell r="FB2" t="str">
            <v>위생상태</v>
          </cell>
          <cell r="FC2" t="str">
            <v>근무지이탈</v>
          </cell>
          <cell r="FD2" t="str">
            <v>근무중음주</v>
          </cell>
          <cell r="FE2" t="str">
            <v>지각</v>
          </cell>
          <cell r="FF2" t="str">
            <v>조퇴</v>
          </cell>
          <cell r="FG2" t="str">
            <v>결근</v>
          </cell>
          <cell r="FH2" t="str">
            <v>주의</v>
          </cell>
          <cell r="FI2" t="str">
            <v>경고</v>
          </cell>
          <cell r="FJ2" t="str">
            <v>신원조회</v>
          </cell>
          <cell r="FK2" t="str">
            <v>시말서</v>
          </cell>
          <cell r="FL2" t="str">
            <v>승점</v>
          </cell>
          <cell r="FM2" t="str">
            <v>감점</v>
          </cell>
          <cell r="FN2" t="str">
            <v>전체업무평점</v>
          </cell>
          <cell r="FO2" t="str">
            <v>기본급</v>
          </cell>
          <cell r="FP2" t="str">
            <v>수당</v>
          </cell>
          <cell r="FQ2" t="str">
            <v>자격수당</v>
          </cell>
          <cell r="FR2" t="str">
            <v>상여300</v>
          </cell>
          <cell r="FS2" t="str">
            <v>상여350</v>
          </cell>
          <cell r="FT2" t="str">
            <v>상여분할</v>
          </cell>
          <cell r="FU2" t="str">
            <v>상여%</v>
          </cell>
          <cell r="FV2" t="str">
            <v>상여금</v>
          </cell>
          <cell r="FW2" t="str">
            <v>월지급액</v>
          </cell>
          <cell r="FX2" t="str">
            <v>년봉</v>
          </cell>
          <cell r="FY2" t="str">
            <v>총지급액</v>
          </cell>
          <cell r="FZ2" t="str">
            <v>급여계좌번호</v>
          </cell>
          <cell r="GA2" t="str">
            <v>취득</v>
          </cell>
          <cell r="GB2" t="str">
            <v>상실</v>
          </cell>
          <cell r="GC2" t="str">
            <v>미가입</v>
          </cell>
          <cell r="GD2" t="str">
            <v>취득</v>
          </cell>
          <cell r="GE2" t="str">
            <v>상실</v>
          </cell>
          <cell r="GF2" t="str">
            <v>미가입자</v>
          </cell>
          <cell r="GG2" t="str">
            <v>취득</v>
          </cell>
          <cell r="GH2" t="str">
            <v>가입</v>
          </cell>
          <cell r="GI2" t="str">
            <v>상실</v>
          </cell>
          <cell r="GJ2" t="str">
            <v>미가입</v>
          </cell>
          <cell r="GK2" t="str">
            <v>정량</v>
          </cell>
          <cell r="GL2" t="str">
            <v>추가</v>
          </cell>
          <cell r="GM2" t="str">
            <v>추가분 산출내역</v>
          </cell>
          <cell r="GN2" t="str">
            <v>총지급</v>
          </cell>
          <cell r="GO2" t="str">
            <v>잔고</v>
          </cell>
          <cell r="GP2" t="str">
            <v>금액</v>
          </cell>
          <cell r="GQ2" t="str">
            <v>확인</v>
          </cell>
          <cell r="GR2" t="str">
            <v>사원번호</v>
          </cell>
          <cell r="GS2" t="str">
            <v>신장</v>
          </cell>
          <cell r="GT2" t="str">
            <v>상의</v>
          </cell>
          <cell r="GU2" t="str">
            <v>하의</v>
          </cell>
          <cell r="GV2" t="str">
            <v>T셔츠</v>
          </cell>
        </row>
        <row r="3">
          <cell r="B3" t="str">
            <v>관리</v>
          </cell>
          <cell r="C3">
            <v>1</v>
          </cell>
          <cell r="D3">
            <v>37452</v>
          </cell>
          <cell r="G3">
            <v>1</v>
          </cell>
          <cell r="L3">
            <v>1</v>
          </cell>
          <cell r="N3" t="str">
            <v>박일근</v>
          </cell>
          <cell r="O3">
            <v>6511221320911</v>
          </cell>
          <cell r="Q3" t="str">
            <v>169-167</v>
          </cell>
          <cell r="S3" t="str">
            <v>서울시</v>
          </cell>
          <cell r="T3" t="str">
            <v>노원구</v>
          </cell>
          <cell r="U3" t="str">
            <v>상계2동</v>
          </cell>
          <cell r="V3" t="str">
            <v>169-167</v>
          </cell>
          <cell r="X3">
            <v>17</v>
          </cell>
          <cell r="Y3">
            <v>3</v>
          </cell>
          <cell r="Z3">
            <v>29078280</v>
          </cell>
          <cell r="AA3">
            <v>172374400</v>
          </cell>
          <cell r="AB3">
            <v>5078</v>
          </cell>
          <cell r="AC3">
            <v>1</v>
          </cell>
          <cell r="AF3">
            <v>1</v>
          </cell>
          <cell r="CD3">
            <v>1</v>
          </cell>
          <cell r="CQ3">
            <v>1</v>
          </cell>
          <cell r="EQ3" t="str">
            <v>놀기</v>
          </cell>
          <cell r="ER3">
            <v>1</v>
          </cell>
          <cell r="ES3">
            <v>11</v>
          </cell>
          <cell r="ET3">
            <v>1</v>
          </cell>
          <cell r="EU3" t="str">
            <v>총괄관리</v>
          </cell>
          <cell r="EV3">
            <v>1</v>
          </cell>
          <cell r="EW3">
            <v>1</v>
          </cell>
          <cell r="EX3">
            <v>1</v>
          </cell>
          <cell r="EY3">
            <v>1</v>
          </cell>
          <cell r="EZ3">
            <v>1</v>
          </cell>
          <cell r="FA3">
            <v>1</v>
          </cell>
          <cell r="FB3">
            <v>1</v>
          </cell>
          <cell r="FC3">
            <v>1</v>
          </cell>
          <cell r="FD3">
            <v>1</v>
          </cell>
          <cell r="FE3">
            <v>2</v>
          </cell>
          <cell r="FF3">
            <v>3</v>
          </cell>
          <cell r="FG3">
            <v>4</v>
          </cell>
          <cell r="FH3">
            <v>2</v>
          </cell>
          <cell r="FI3">
            <v>1</v>
          </cell>
          <cell r="FJ3">
            <v>1</v>
          </cell>
          <cell r="FK3">
            <v>1</v>
          </cell>
          <cell r="FL3">
            <v>7</v>
          </cell>
          <cell r="FM3">
            <v>16</v>
          </cell>
          <cell r="FN3">
            <v>-9</v>
          </cell>
          <cell r="FO3">
            <v>10</v>
          </cell>
          <cell r="FP3">
            <v>20</v>
          </cell>
          <cell r="FQ3">
            <v>30</v>
          </cell>
          <cell r="FZ3" t="str">
            <v>654-5632-588-58</v>
          </cell>
          <cell r="GK3">
            <v>26</v>
          </cell>
          <cell r="GL3">
            <v>68</v>
          </cell>
          <cell r="GN3">
            <v>94</v>
          </cell>
          <cell r="GO3">
            <v>2764</v>
          </cell>
          <cell r="GR3">
            <v>1</v>
          </cell>
        </row>
        <row r="4">
          <cell r="B4" t="str">
            <v>관리</v>
          </cell>
          <cell r="C4">
            <v>1</v>
          </cell>
          <cell r="D4">
            <v>37466</v>
          </cell>
          <cell r="G4">
            <v>1</v>
          </cell>
          <cell r="H4">
            <v>1</v>
          </cell>
          <cell r="I4">
            <v>1</v>
          </cell>
          <cell r="J4">
            <v>2</v>
          </cell>
          <cell r="K4">
            <v>2</v>
          </cell>
          <cell r="M4">
            <v>1</v>
          </cell>
          <cell r="N4" t="str">
            <v>배기수</v>
          </cell>
          <cell r="O4">
            <v>5207071822419</v>
          </cell>
          <cell r="P4">
            <v>50</v>
          </cell>
          <cell r="S4" t="str">
            <v>수원시</v>
          </cell>
          <cell r="T4" t="str">
            <v>장안구</v>
          </cell>
          <cell r="U4" t="str">
            <v>천천동</v>
          </cell>
          <cell r="V4" t="str">
            <v>333</v>
          </cell>
          <cell r="W4" t="str">
            <v>주공@</v>
          </cell>
          <cell r="X4">
            <v>123</v>
          </cell>
          <cell r="Y4">
            <v>307</v>
          </cell>
          <cell r="Z4">
            <v>2939677</v>
          </cell>
          <cell r="AA4">
            <v>185774005</v>
          </cell>
          <cell r="AC4">
            <v>1</v>
          </cell>
          <cell r="BS4">
            <v>1</v>
          </cell>
          <cell r="BU4">
            <v>1</v>
          </cell>
          <cell r="CD4">
            <v>1</v>
          </cell>
          <cell r="CR4">
            <v>1</v>
          </cell>
          <cell r="CY4">
            <v>1</v>
          </cell>
          <cell r="DC4">
            <v>1</v>
          </cell>
          <cell r="DQ4">
            <v>1</v>
          </cell>
          <cell r="EO4">
            <v>1</v>
          </cell>
          <cell r="FX4">
            <v>23000000</v>
          </cell>
          <cell r="GK4">
            <v>26</v>
          </cell>
          <cell r="GL4">
            <v>30</v>
          </cell>
          <cell r="GN4">
            <v>56</v>
          </cell>
        </row>
        <row r="5">
          <cell r="B5" t="str">
            <v>관리</v>
          </cell>
          <cell r="C5">
            <v>1</v>
          </cell>
          <cell r="D5">
            <v>37448</v>
          </cell>
          <cell r="G5">
            <v>1</v>
          </cell>
          <cell r="H5">
            <v>1</v>
          </cell>
          <cell r="I5">
            <v>1</v>
          </cell>
          <cell r="J5">
            <v>2</v>
          </cell>
          <cell r="K5">
            <v>2</v>
          </cell>
          <cell r="M5">
            <v>1</v>
          </cell>
          <cell r="N5" t="str">
            <v>송길섭</v>
          </cell>
          <cell r="O5">
            <v>5112101472114</v>
          </cell>
          <cell r="AA5">
            <v>173447160</v>
          </cell>
          <cell r="AC5">
            <v>1</v>
          </cell>
          <cell r="BS5">
            <v>1</v>
          </cell>
          <cell r="BU5">
            <v>1</v>
          </cell>
          <cell r="BV5">
            <v>1</v>
          </cell>
          <cell r="CD5">
            <v>1</v>
          </cell>
          <cell r="CP5">
            <v>1</v>
          </cell>
          <cell r="FZ5" t="str">
            <v>772-042059-02-101</v>
          </cell>
          <cell r="GK5">
            <v>26</v>
          </cell>
          <cell r="GL5">
            <v>20</v>
          </cell>
          <cell r="GN5">
            <v>46</v>
          </cell>
        </row>
        <row r="6">
          <cell r="B6" t="str">
            <v>관리</v>
          </cell>
          <cell r="C6">
            <v>1</v>
          </cell>
          <cell r="D6">
            <v>37463</v>
          </cell>
          <cell r="G6">
            <v>1</v>
          </cell>
          <cell r="H6">
            <v>1</v>
          </cell>
          <cell r="I6">
            <v>1</v>
          </cell>
          <cell r="J6">
            <v>2</v>
          </cell>
          <cell r="K6">
            <v>2</v>
          </cell>
          <cell r="M6">
            <v>1</v>
          </cell>
          <cell r="N6" t="str">
            <v>이하영</v>
          </cell>
          <cell r="O6">
            <v>8106122822217</v>
          </cell>
          <cell r="P6">
            <v>22</v>
          </cell>
          <cell r="Q6" t="str">
            <v>461-140</v>
          </cell>
          <cell r="R6" t="str">
            <v>경기도</v>
          </cell>
          <cell r="S6" t="str">
            <v>성남시</v>
          </cell>
          <cell r="T6" t="str">
            <v>수정구</v>
          </cell>
          <cell r="U6" t="str">
            <v>단대동</v>
          </cell>
          <cell r="W6" t="str">
            <v>희망@</v>
          </cell>
          <cell r="X6">
            <v>5</v>
          </cell>
          <cell r="Y6">
            <v>209</v>
          </cell>
          <cell r="AA6">
            <v>182568020</v>
          </cell>
          <cell r="AD6">
            <v>1</v>
          </cell>
          <cell r="AJ6">
            <v>1</v>
          </cell>
          <cell r="AU6">
            <v>1</v>
          </cell>
          <cell r="AV6">
            <v>0.5</v>
          </cell>
          <cell r="AW6">
            <v>0</v>
          </cell>
          <cell r="AX6">
            <v>1</v>
          </cell>
          <cell r="BL6" t="str">
            <v>중</v>
          </cell>
          <cell r="BN6">
            <v>1</v>
          </cell>
          <cell r="BO6">
            <v>1</v>
          </cell>
          <cell r="BP6">
            <v>1</v>
          </cell>
          <cell r="BQ6">
            <v>1</v>
          </cell>
          <cell r="BR6">
            <v>1</v>
          </cell>
          <cell r="CD6">
            <v>1</v>
          </cell>
          <cell r="CX6">
            <v>1</v>
          </cell>
          <cell r="EQ6" t="str">
            <v>오락</v>
          </cell>
          <cell r="FW6">
            <v>860000</v>
          </cell>
          <cell r="GK6">
            <v>26</v>
          </cell>
          <cell r="GL6">
            <v>15</v>
          </cell>
          <cell r="GN6">
            <v>41</v>
          </cell>
          <cell r="GS6">
            <v>156</v>
          </cell>
          <cell r="GT6">
            <v>66</v>
          </cell>
          <cell r="GU6">
            <v>66</v>
          </cell>
          <cell r="GV6">
            <v>95</v>
          </cell>
        </row>
        <row r="7">
          <cell r="B7" t="str">
            <v>기계</v>
          </cell>
          <cell r="C7">
            <v>1</v>
          </cell>
          <cell r="D7">
            <v>37475</v>
          </cell>
          <cell r="E7">
            <v>1</v>
          </cell>
          <cell r="G7">
            <v>0</v>
          </cell>
          <cell r="I7">
            <v>1</v>
          </cell>
          <cell r="N7" t="str">
            <v>강일국</v>
          </cell>
          <cell r="O7">
            <v>7103141167832</v>
          </cell>
          <cell r="P7">
            <v>31</v>
          </cell>
          <cell r="R7" t="str">
            <v>경기도</v>
          </cell>
          <cell r="S7" t="str">
            <v>성남시</v>
          </cell>
          <cell r="U7" t="str">
            <v>수진1동</v>
          </cell>
          <cell r="V7" t="str">
            <v>96-1호</v>
          </cell>
          <cell r="AA7">
            <v>167248098</v>
          </cell>
          <cell r="CE7">
            <v>1</v>
          </cell>
          <cell r="CX7">
            <v>1</v>
          </cell>
          <cell r="FW7">
            <v>1100000</v>
          </cell>
          <cell r="GN7">
            <v>0</v>
          </cell>
        </row>
        <row r="8">
          <cell r="B8" t="str">
            <v>기계</v>
          </cell>
          <cell r="C8">
            <v>1</v>
          </cell>
          <cell r="D8">
            <v>37484</v>
          </cell>
          <cell r="E8">
            <v>1</v>
          </cell>
          <cell r="F8">
            <v>37485</v>
          </cell>
          <cell r="G8">
            <v>0</v>
          </cell>
          <cell r="I8">
            <v>1</v>
          </cell>
          <cell r="N8" t="str">
            <v>김민호</v>
          </cell>
          <cell r="O8" t="str">
            <v>671004-1636526</v>
          </cell>
          <cell r="P8">
            <v>35</v>
          </cell>
          <cell r="R8" t="str">
            <v>서울시</v>
          </cell>
          <cell r="S8" t="str">
            <v>서울시</v>
          </cell>
          <cell r="T8" t="str">
            <v>서초구</v>
          </cell>
          <cell r="U8" t="str">
            <v>방배동</v>
          </cell>
          <cell r="V8" t="str">
            <v>939-22</v>
          </cell>
          <cell r="Z8">
            <v>25219369</v>
          </cell>
          <cell r="AA8">
            <v>173121535</v>
          </cell>
          <cell r="CE8">
            <v>1</v>
          </cell>
          <cell r="CX8">
            <v>1</v>
          </cell>
          <cell r="FX8">
            <v>19000000</v>
          </cell>
          <cell r="GK8">
            <v>2</v>
          </cell>
          <cell r="GN8">
            <v>2</v>
          </cell>
        </row>
        <row r="9">
          <cell r="B9" t="str">
            <v>기계</v>
          </cell>
          <cell r="C9">
            <v>1</v>
          </cell>
          <cell r="D9">
            <v>37475</v>
          </cell>
          <cell r="E9">
            <v>1</v>
          </cell>
          <cell r="G9">
            <v>0</v>
          </cell>
          <cell r="I9">
            <v>1</v>
          </cell>
          <cell r="N9" t="str">
            <v>김성래</v>
          </cell>
          <cell r="O9">
            <v>7710251168324</v>
          </cell>
          <cell r="P9">
            <v>25</v>
          </cell>
          <cell r="R9" t="str">
            <v>경기도</v>
          </cell>
          <cell r="S9" t="str">
            <v>성남시</v>
          </cell>
          <cell r="T9" t="str">
            <v>중원구</v>
          </cell>
          <cell r="U9" t="str">
            <v>상대원1동</v>
          </cell>
          <cell r="V9" t="str">
            <v>1927-2</v>
          </cell>
          <cell r="W9" t="str">
            <v>지상아트맨션</v>
          </cell>
          <cell r="Y9" t="str">
            <v>201호</v>
          </cell>
          <cell r="Z9">
            <v>7364360</v>
          </cell>
          <cell r="AA9">
            <v>1198678519</v>
          </cell>
          <cell r="CE9">
            <v>1</v>
          </cell>
          <cell r="CX9">
            <v>1</v>
          </cell>
          <cell r="FX9">
            <v>15600000</v>
          </cell>
          <cell r="GK9">
            <v>3</v>
          </cell>
          <cell r="GN9">
            <v>3</v>
          </cell>
        </row>
        <row r="10">
          <cell r="B10" t="str">
            <v>기계</v>
          </cell>
          <cell r="C10">
            <v>1</v>
          </cell>
          <cell r="D10">
            <v>37484</v>
          </cell>
          <cell r="G10">
            <v>1</v>
          </cell>
          <cell r="H10">
            <v>1</v>
          </cell>
          <cell r="I10">
            <v>1</v>
          </cell>
          <cell r="J10">
            <v>2</v>
          </cell>
          <cell r="N10" t="str">
            <v>김영식</v>
          </cell>
          <cell r="O10" t="str">
            <v>430509-1851016</v>
          </cell>
          <cell r="P10">
            <v>59</v>
          </cell>
          <cell r="R10" t="str">
            <v>서울시</v>
          </cell>
          <cell r="S10" t="str">
            <v>서울시</v>
          </cell>
          <cell r="T10" t="str">
            <v>중랑구</v>
          </cell>
          <cell r="U10" t="str">
            <v>중화1동</v>
          </cell>
          <cell r="V10" t="str">
            <v>178-50</v>
          </cell>
          <cell r="Z10">
            <v>24925762</v>
          </cell>
          <cell r="AA10">
            <v>1196115762</v>
          </cell>
          <cell r="AC10">
            <v>1</v>
          </cell>
          <cell r="BS10">
            <v>1</v>
          </cell>
          <cell r="BU10">
            <v>1</v>
          </cell>
          <cell r="CE10">
            <v>1</v>
          </cell>
          <cell r="CX10">
            <v>1</v>
          </cell>
          <cell r="FW10">
            <v>1250000</v>
          </cell>
          <cell r="GK10">
            <v>27</v>
          </cell>
          <cell r="GN10">
            <v>27</v>
          </cell>
        </row>
        <row r="11">
          <cell r="B11" t="str">
            <v>기계</v>
          </cell>
          <cell r="C11">
            <v>1</v>
          </cell>
          <cell r="D11">
            <v>37487</v>
          </cell>
          <cell r="E11">
            <v>1</v>
          </cell>
          <cell r="G11">
            <v>0</v>
          </cell>
          <cell r="I11">
            <v>1</v>
          </cell>
          <cell r="N11" t="str">
            <v>김준섭</v>
          </cell>
          <cell r="P11">
            <v>53</v>
          </cell>
          <cell r="R11" t="str">
            <v>서울시</v>
          </cell>
          <cell r="S11" t="str">
            <v>서울시</v>
          </cell>
          <cell r="T11" t="str">
            <v>송파구</v>
          </cell>
          <cell r="U11" t="str">
            <v>신천동</v>
          </cell>
          <cell r="V11" t="str">
            <v>20-5</v>
          </cell>
          <cell r="AA11">
            <v>1199283733</v>
          </cell>
          <cell r="CE11">
            <v>1</v>
          </cell>
          <cell r="CX11">
            <v>1</v>
          </cell>
          <cell r="FW11">
            <v>1300000</v>
          </cell>
          <cell r="GN11">
            <v>0</v>
          </cell>
        </row>
        <row r="12">
          <cell r="B12" t="str">
            <v>기계</v>
          </cell>
          <cell r="C12">
            <v>1</v>
          </cell>
          <cell r="D12">
            <v>37478</v>
          </cell>
          <cell r="E12">
            <v>1</v>
          </cell>
          <cell r="G12">
            <v>0</v>
          </cell>
          <cell r="I12">
            <v>1</v>
          </cell>
          <cell r="N12" t="str">
            <v>김항식</v>
          </cell>
          <cell r="O12">
            <v>5507271168231</v>
          </cell>
          <cell r="P12">
            <v>47</v>
          </cell>
          <cell r="R12" t="str">
            <v>경기도</v>
          </cell>
          <cell r="S12" t="str">
            <v>성남시</v>
          </cell>
          <cell r="T12" t="str">
            <v>중원구</v>
          </cell>
          <cell r="U12" t="str">
            <v>성남동</v>
          </cell>
          <cell r="V12" t="str">
            <v>3389</v>
          </cell>
          <cell r="Z12">
            <v>7553576</v>
          </cell>
          <cell r="AA12">
            <v>114969859</v>
          </cell>
          <cell r="CE12">
            <v>1</v>
          </cell>
          <cell r="CX12">
            <v>1</v>
          </cell>
          <cell r="FX12">
            <v>14000000</v>
          </cell>
          <cell r="GN12">
            <v>0</v>
          </cell>
        </row>
        <row r="13">
          <cell r="B13" t="str">
            <v>기계</v>
          </cell>
          <cell r="C13">
            <v>1</v>
          </cell>
          <cell r="D13">
            <v>37474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N13" t="str">
            <v>박용진</v>
          </cell>
          <cell r="O13" t="str">
            <v>780222-1169413</v>
          </cell>
          <cell r="P13">
            <v>24</v>
          </cell>
          <cell r="R13" t="str">
            <v>경기도</v>
          </cell>
          <cell r="S13" t="str">
            <v>성남시</v>
          </cell>
          <cell r="T13" t="str">
            <v>분당구</v>
          </cell>
          <cell r="U13" t="str">
            <v>야탑동</v>
          </cell>
          <cell r="W13" t="str">
            <v>목련마을</v>
          </cell>
          <cell r="X13">
            <v>104</v>
          </cell>
          <cell r="Y13">
            <v>601</v>
          </cell>
          <cell r="AA13">
            <v>172851312</v>
          </cell>
          <cell r="AD13">
            <v>1</v>
          </cell>
          <cell r="CE13">
            <v>1</v>
          </cell>
          <cell r="CX13">
            <v>1</v>
          </cell>
          <cell r="FX13">
            <v>16600000</v>
          </cell>
          <cell r="FZ13" t="str">
            <v>197-001021-12-201</v>
          </cell>
          <cell r="GK13">
            <v>27</v>
          </cell>
          <cell r="GN13">
            <v>27</v>
          </cell>
        </row>
        <row r="14">
          <cell r="B14" t="str">
            <v>기계</v>
          </cell>
          <cell r="C14">
            <v>1</v>
          </cell>
          <cell r="D14">
            <v>37480</v>
          </cell>
          <cell r="G14">
            <v>1</v>
          </cell>
          <cell r="H14">
            <v>1</v>
          </cell>
          <cell r="I14">
            <v>1</v>
          </cell>
          <cell r="J14">
            <v>2</v>
          </cell>
          <cell r="K14">
            <v>2</v>
          </cell>
          <cell r="M14">
            <v>1</v>
          </cell>
          <cell r="N14" t="str">
            <v>박재윤</v>
          </cell>
          <cell r="O14">
            <v>7807061018811</v>
          </cell>
          <cell r="P14">
            <v>24</v>
          </cell>
          <cell r="R14" t="str">
            <v>경기도</v>
          </cell>
          <cell r="S14" t="str">
            <v>하남시</v>
          </cell>
          <cell r="U14" t="str">
            <v>창우동</v>
          </cell>
          <cell r="V14" t="str">
            <v>518</v>
          </cell>
          <cell r="W14" t="str">
            <v>부영</v>
          </cell>
          <cell r="X14" t="str">
            <v>112동</v>
          </cell>
          <cell r="Y14">
            <v>1208</v>
          </cell>
          <cell r="Z14">
            <v>7946236</v>
          </cell>
          <cell r="AA14">
            <v>163126236</v>
          </cell>
          <cell r="BQ14">
            <v>1</v>
          </cell>
          <cell r="BR14">
            <v>1</v>
          </cell>
          <cell r="BY14">
            <v>1</v>
          </cell>
          <cell r="CE14">
            <v>1</v>
          </cell>
          <cell r="CX14">
            <v>1</v>
          </cell>
          <cell r="FW14">
            <v>1100000</v>
          </cell>
          <cell r="FZ14" t="str">
            <v>188-174921-02-101</v>
          </cell>
          <cell r="GK14">
            <v>27</v>
          </cell>
          <cell r="GL14">
            <v>7</v>
          </cell>
          <cell r="GN14">
            <v>34</v>
          </cell>
        </row>
        <row r="15">
          <cell r="B15" t="str">
            <v>기계</v>
          </cell>
          <cell r="C15">
            <v>1</v>
          </cell>
          <cell r="D15">
            <v>37500</v>
          </cell>
          <cell r="G15">
            <v>1</v>
          </cell>
          <cell r="H15">
            <v>1</v>
          </cell>
          <cell r="I15">
            <v>1</v>
          </cell>
          <cell r="J15">
            <v>2</v>
          </cell>
          <cell r="K15">
            <v>2</v>
          </cell>
          <cell r="M15">
            <v>1</v>
          </cell>
          <cell r="N15" t="str">
            <v>박호일</v>
          </cell>
          <cell r="O15" t="str">
            <v>620921-1665811</v>
          </cell>
          <cell r="R15" t="str">
            <v>경기도</v>
          </cell>
          <cell r="S15" t="str">
            <v>성남시</v>
          </cell>
          <cell r="T15" t="str">
            <v>분당구</v>
          </cell>
          <cell r="U15" t="str">
            <v>정자동</v>
          </cell>
          <cell r="V15" t="str">
            <v>102</v>
          </cell>
          <cell r="W15" t="str">
            <v>한솔마을</v>
          </cell>
          <cell r="X15">
            <v>406</v>
          </cell>
          <cell r="Y15">
            <v>501</v>
          </cell>
          <cell r="AA15">
            <v>194945832</v>
          </cell>
          <cell r="AC15">
            <v>1</v>
          </cell>
          <cell r="BS15">
            <v>1</v>
          </cell>
          <cell r="BU15">
            <v>1</v>
          </cell>
          <cell r="BV15">
            <v>1</v>
          </cell>
          <cell r="CE15">
            <v>1</v>
          </cell>
          <cell r="CX15">
            <v>1</v>
          </cell>
          <cell r="CY15">
            <v>1</v>
          </cell>
          <cell r="DA15">
            <v>1</v>
          </cell>
          <cell r="DC15">
            <v>1</v>
          </cell>
          <cell r="DM15">
            <v>1</v>
          </cell>
          <cell r="DQ15">
            <v>1</v>
          </cell>
          <cell r="EO15">
            <v>1</v>
          </cell>
          <cell r="FX15">
            <v>21000000</v>
          </cell>
          <cell r="FZ15" t="str">
            <v>314-21-0219-319</v>
          </cell>
          <cell r="GN15">
            <v>0</v>
          </cell>
        </row>
        <row r="16">
          <cell r="B16" t="str">
            <v>기계</v>
          </cell>
          <cell r="C16">
            <v>1</v>
          </cell>
          <cell r="D16">
            <v>37494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2</v>
          </cell>
          <cell r="M16">
            <v>1</v>
          </cell>
          <cell r="N16" t="str">
            <v>신해규</v>
          </cell>
          <cell r="O16" t="str">
            <v>790118-1399015</v>
          </cell>
          <cell r="P16">
            <v>26</v>
          </cell>
          <cell r="R16" t="str">
            <v>충청북도</v>
          </cell>
          <cell r="S16" t="str">
            <v>단양군</v>
          </cell>
          <cell r="T16" t="str">
            <v>적성면</v>
          </cell>
          <cell r="U16" t="str">
            <v>대가리</v>
          </cell>
          <cell r="V16" t="str">
            <v>342</v>
          </cell>
          <cell r="AA16">
            <v>114825523</v>
          </cell>
          <cell r="CE16">
            <v>1</v>
          </cell>
          <cell r="CX16">
            <v>1</v>
          </cell>
          <cell r="FZ16" t="str">
            <v>772-039559-02-101</v>
          </cell>
        </row>
        <row r="17">
          <cell r="B17" t="str">
            <v>기계</v>
          </cell>
          <cell r="C17">
            <v>1</v>
          </cell>
          <cell r="D17">
            <v>37500</v>
          </cell>
          <cell r="G17">
            <v>1</v>
          </cell>
          <cell r="H17">
            <v>1</v>
          </cell>
          <cell r="J17">
            <v>2</v>
          </cell>
          <cell r="K17">
            <v>3</v>
          </cell>
          <cell r="M17">
            <v>1</v>
          </cell>
          <cell r="N17" t="str">
            <v>이경우</v>
          </cell>
          <cell r="O17" t="str">
            <v>750216-1168121</v>
          </cell>
          <cell r="R17" t="str">
            <v>경기도</v>
          </cell>
          <cell r="S17" t="str">
            <v>성남시</v>
          </cell>
          <cell r="T17" t="str">
            <v>수정구</v>
          </cell>
          <cell r="U17" t="str">
            <v>단대동</v>
          </cell>
          <cell r="V17" t="str">
            <v>159-3</v>
          </cell>
          <cell r="AA17">
            <v>112179899</v>
          </cell>
          <cell r="AD17">
            <v>1</v>
          </cell>
          <cell r="BQ17">
            <v>1</v>
          </cell>
          <cell r="BR17">
            <v>1</v>
          </cell>
          <cell r="BY17">
            <v>1</v>
          </cell>
          <cell r="CE17">
            <v>1</v>
          </cell>
          <cell r="CX17">
            <v>1</v>
          </cell>
          <cell r="FW17">
            <v>1100000</v>
          </cell>
          <cell r="FZ17" t="str">
            <v>079-444349-02-201</v>
          </cell>
        </row>
        <row r="18">
          <cell r="B18" t="str">
            <v>기계</v>
          </cell>
          <cell r="C18">
            <v>1</v>
          </cell>
          <cell r="D18">
            <v>37473</v>
          </cell>
          <cell r="G18">
            <v>1</v>
          </cell>
          <cell r="H18">
            <v>1</v>
          </cell>
          <cell r="I18">
            <v>1</v>
          </cell>
          <cell r="J18">
            <v>2</v>
          </cell>
          <cell r="K18">
            <v>2</v>
          </cell>
          <cell r="N18" t="str">
            <v>이범재</v>
          </cell>
          <cell r="O18">
            <v>7208161168249</v>
          </cell>
          <cell r="P18">
            <v>30</v>
          </cell>
          <cell r="R18" t="str">
            <v>경기도</v>
          </cell>
          <cell r="S18" t="str">
            <v>광주시</v>
          </cell>
          <cell r="T18" t="str">
            <v>실촌면</v>
          </cell>
          <cell r="U18" t="str">
            <v>곤지암리</v>
          </cell>
          <cell r="W18" t="str">
            <v>쌍용</v>
          </cell>
          <cell r="X18">
            <v>203</v>
          </cell>
          <cell r="Y18">
            <v>1801</v>
          </cell>
          <cell r="Z18">
            <v>317973723</v>
          </cell>
          <cell r="AA18">
            <v>1692334020</v>
          </cell>
          <cell r="AC18">
            <v>1</v>
          </cell>
          <cell r="BS18">
            <v>1</v>
          </cell>
          <cell r="CE18">
            <v>1</v>
          </cell>
          <cell r="CS18">
            <v>1</v>
          </cell>
          <cell r="FX18">
            <v>21000000</v>
          </cell>
          <cell r="FZ18" t="str">
            <v>372-07-011147</v>
          </cell>
          <cell r="GK18">
            <v>27</v>
          </cell>
          <cell r="GL18">
            <v>80</v>
          </cell>
          <cell r="GN18">
            <v>107</v>
          </cell>
        </row>
        <row r="19">
          <cell r="B19" t="str">
            <v>기계</v>
          </cell>
          <cell r="C19">
            <v>1</v>
          </cell>
          <cell r="D19">
            <v>37469</v>
          </cell>
          <cell r="E19">
            <v>1</v>
          </cell>
          <cell r="F19">
            <v>37474</v>
          </cell>
          <cell r="G19">
            <v>0</v>
          </cell>
          <cell r="I19">
            <v>1</v>
          </cell>
          <cell r="M19">
            <v>1</v>
          </cell>
          <cell r="N19" t="str">
            <v>이상화</v>
          </cell>
          <cell r="O19">
            <v>6012111786218</v>
          </cell>
          <cell r="P19">
            <v>41</v>
          </cell>
          <cell r="R19" t="str">
            <v>서울시</v>
          </cell>
          <cell r="S19" t="str">
            <v>서울시</v>
          </cell>
          <cell r="T19" t="str">
            <v>동대문구</v>
          </cell>
          <cell r="U19" t="str">
            <v>답십리</v>
          </cell>
          <cell r="V19" t="str">
            <v>80</v>
          </cell>
          <cell r="Z19">
            <v>222152255</v>
          </cell>
          <cell r="AA19">
            <v>1197601473</v>
          </cell>
          <cell r="CE19">
            <v>1</v>
          </cell>
          <cell r="CS19">
            <v>1</v>
          </cell>
          <cell r="FX19">
            <v>22000000</v>
          </cell>
          <cell r="GK19">
            <v>6</v>
          </cell>
          <cell r="GL19">
            <v>5</v>
          </cell>
          <cell r="GN19">
            <v>11</v>
          </cell>
        </row>
        <row r="20">
          <cell r="B20" t="str">
            <v>기계</v>
          </cell>
          <cell r="C20">
            <v>1</v>
          </cell>
          <cell r="D20">
            <v>37475</v>
          </cell>
          <cell r="E20">
            <v>1</v>
          </cell>
          <cell r="F20">
            <v>37478</v>
          </cell>
          <cell r="G20">
            <v>0</v>
          </cell>
          <cell r="I20">
            <v>1</v>
          </cell>
          <cell r="N20" t="str">
            <v>임채석</v>
          </cell>
          <cell r="O20" t="str">
            <v>781224-1051718</v>
          </cell>
          <cell r="P20">
            <v>23</v>
          </cell>
          <cell r="R20" t="str">
            <v>서울시</v>
          </cell>
          <cell r="S20" t="str">
            <v>서울시</v>
          </cell>
          <cell r="T20" t="str">
            <v>중랑구</v>
          </cell>
          <cell r="U20" t="str">
            <v>면목2동</v>
          </cell>
          <cell r="V20" t="str">
            <v>134-21</v>
          </cell>
          <cell r="Z20">
            <v>24938093</v>
          </cell>
          <cell r="CE20">
            <v>1</v>
          </cell>
          <cell r="CX20">
            <v>1</v>
          </cell>
          <cell r="FX20">
            <v>1400000</v>
          </cell>
          <cell r="GK20">
            <v>4</v>
          </cell>
          <cell r="GL20">
            <v>2</v>
          </cell>
          <cell r="GN20">
            <v>6</v>
          </cell>
        </row>
        <row r="21">
          <cell r="B21" t="str">
            <v>기계</v>
          </cell>
          <cell r="C21">
            <v>1</v>
          </cell>
          <cell r="D21">
            <v>37474</v>
          </cell>
          <cell r="E21">
            <v>1</v>
          </cell>
          <cell r="F21">
            <v>37475</v>
          </cell>
          <cell r="G21">
            <v>0</v>
          </cell>
          <cell r="I21">
            <v>1</v>
          </cell>
          <cell r="N21" t="str">
            <v>홍동희</v>
          </cell>
          <cell r="O21">
            <v>7212201167638</v>
          </cell>
          <cell r="P21">
            <v>29</v>
          </cell>
          <cell r="R21" t="str">
            <v>경기도</v>
          </cell>
          <cell r="S21" t="str">
            <v>성남시</v>
          </cell>
          <cell r="T21" t="str">
            <v>분당구</v>
          </cell>
          <cell r="U21" t="str">
            <v>야탑동</v>
          </cell>
          <cell r="V21" t="str">
            <v>477-4번지</v>
          </cell>
          <cell r="AA21">
            <v>177811793</v>
          </cell>
          <cell r="CE21">
            <v>1</v>
          </cell>
          <cell r="CX21">
            <v>1</v>
          </cell>
          <cell r="FW21">
            <v>1100000</v>
          </cell>
          <cell r="GK21">
            <v>2</v>
          </cell>
          <cell r="GL21">
            <v>2</v>
          </cell>
          <cell r="GN21">
            <v>4</v>
          </cell>
        </row>
        <row r="22">
          <cell r="B22" t="str">
            <v>기계</v>
          </cell>
          <cell r="C22">
            <v>1</v>
          </cell>
          <cell r="E22">
            <v>1</v>
          </cell>
          <cell r="G22">
            <v>0</v>
          </cell>
          <cell r="N22" t="str">
            <v>김효제</v>
          </cell>
          <cell r="GK22">
            <v>27</v>
          </cell>
          <cell r="GN22">
            <v>27</v>
          </cell>
        </row>
        <row r="23">
          <cell r="B23" t="str">
            <v>전기</v>
          </cell>
          <cell r="C23">
            <v>1</v>
          </cell>
          <cell r="D23">
            <v>37478</v>
          </cell>
          <cell r="G23">
            <v>1</v>
          </cell>
          <cell r="H23">
            <v>1</v>
          </cell>
          <cell r="I23">
            <v>1</v>
          </cell>
          <cell r="J23">
            <v>2</v>
          </cell>
          <cell r="K23">
            <v>2</v>
          </cell>
          <cell r="N23" t="str">
            <v>김동오</v>
          </cell>
          <cell r="O23">
            <v>6510161011418</v>
          </cell>
          <cell r="P23">
            <v>37</v>
          </cell>
          <cell r="R23" t="str">
            <v>서울시</v>
          </cell>
          <cell r="S23" t="str">
            <v>서울시</v>
          </cell>
          <cell r="T23" t="str">
            <v>서초구</v>
          </cell>
          <cell r="U23" t="str">
            <v>방배본동</v>
          </cell>
          <cell r="V23" t="str">
            <v>2098</v>
          </cell>
          <cell r="CF23">
            <v>1</v>
          </cell>
          <cell r="CV23">
            <v>1</v>
          </cell>
          <cell r="FX23">
            <v>20000000</v>
          </cell>
          <cell r="GK23">
            <v>27</v>
          </cell>
          <cell r="GN23">
            <v>27</v>
          </cell>
        </row>
        <row r="24">
          <cell r="B24" t="str">
            <v>전기</v>
          </cell>
          <cell r="C24">
            <v>1</v>
          </cell>
          <cell r="D24">
            <v>37473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  <cell r="K24">
            <v>1</v>
          </cell>
          <cell r="M24">
            <v>1</v>
          </cell>
          <cell r="N24" t="str">
            <v>김철민</v>
          </cell>
          <cell r="O24" t="str">
            <v>800117-1384116</v>
          </cell>
          <cell r="P24">
            <v>22</v>
          </cell>
          <cell r="R24" t="str">
            <v>경기도</v>
          </cell>
          <cell r="S24" t="str">
            <v>성남시</v>
          </cell>
          <cell r="T24" t="str">
            <v>중원구</v>
          </cell>
          <cell r="U24" t="str">
            <v>하대원동</v>
          </cell>
          <cell r="W24" t="str">
            <v>성원</v>
          </cell>
          <cell r="X24">
            <v>6</v>
          </cell>
          <cell r="Y24">
            <v>104</v>
          </cell>
          <cell r="Z24">
            <v>317568493</v>
          </cell>
          <cell r="AA24">
            <v>115028493</v>
          </cell>
          <cell r="AD24">
            <v>1</v>
          </cell>
          <cell r="BQ24">
            <v>1</v>
          </cell>
          <cell r="BR24">
            <v>1</v>
          </cell>
          <cell r="BX24">
            <v>1</v>
          </cell>
          <cell r="CF24">
            <v>1</v>
          </cell>
          <cell r="CX24">
            <v>1</v>
          </cell>
          <cell r="FW24">
            <v>1150000</v>
          </cell>
          <cell r="GK24">
            <v>23</v>
          </cell>
          <cell r="GL24">
            <v>10</v>
          </cell>
          <cell r="GN24">
            <v>33</v>
          </cell>
        </row>
        <row r="25">
          <cell r="B25" t="str">
            <v>전기</v>
          </cell>
          <cell r="C25">
            <v>1</v>
          </cell>
          <cell r="E25">
            <v>1</v>
          </cell>
          <cell r="G25">
            <v>0</v>
          </cell>
          <cell r="I25">
            <v>1</v>
          </cell>
          <cell r="N25" t="str">
            <v>김행대</v>
          </cell>
          <cell r="O25">
            <v>7003031649012</v>
          </cell>
          <cell r="P25">
            <v>34</v>
          </cell>
          <cell r="R25" t="str">
            <v>경기도</v>
          </cell>
          <cell r="S25" t="str">
            <v>안양시</v>
          </cell>
          <cell r="T25" t="str">
            <v>동안구</v>
          </cell>
          <cell r="U25" t="str">
            <v>달안동</v>
          </cell>
          <cell r="V25" t="str">
            <v>1101-2</v>
          </cell>
          <cell r="W25" t="str">
            <v>한양샛별</v>
          </cell>
          <cell r="X25">
            <v>105</v>
          </cell>
          <cell r="Y25">
            <v>502</v>
          </cell>
          <cell r="CF25">
            <v>1</v>
          </cell>
          <cell r="CV25">
            <v>1</v>
          </cell>
          <cell r="GN25">
            <v>0</v>
          </cell>
        </row>
        <row r="26">
          <cell r="B26" t="str">
            <v>전기</v>
          </cell>
          <cell r="C26">
            <v>1</v>
          </cell>
          <cell r="E26">
            <v>1</v>
          </cell>
          <cell r="G26">
            <v>0</v>
          </cell>
          <cell r="I26">
            <v>1</v>
          </cell>
          <cell r="N26" t="str">
            <v>박상수</v>
          </cell>
          <cell r="O26">
            <v>6008101026037</v>
          </cell>
          <cell r="P26">
            <v>42</v>
          </cell>
          <cell r="R26" t="str">
            <v>경기도</v>
          </cell>
          <cell r="S26" t="str">
            <v>용인시</v>
          </cell>
          <cell r="T26" t="str">
            <v>기흥읍</v>
          </cell>
          <cell r="U26" t="str">
            <v>구갈리</v>
          </cell>
          <cell r="V26" t="str">
            <v>380</v>
          </cell>
          <cell r="W26" t="str">
            <v>한성1차</v>
          </cell>
          <cell r="X26">
            <v>104</v>
          </cell>
          <cell r="Y26">
            <v>403</v>
          </cell>
          <cell r="Z26">
            <v>312862622</v>
          </cell>
          <cell r="AA26">
            <v>173412606</v>
          </cell>
          <cell r="CF26">
            <v>1</v>
          </cell>
          <cell r="CX26">
            <v>1</v>
          </cell>
          <cell r="FX26">
            <v>19000000</v>
          </cell>
          <cell r="GN26">
            <v>0</v>
          </cell>
        </row>
        <row r="27">
          <cell r="B27" t="str">
            <v>전기</v>
          </cell>
          <cell r="C27">
            <v>1</v>
          </cell>
          <cell r="E27">
            <v>1</v>
          </cell>
          <cell r="G27">
            <v>0</v>
          </cell>
          <cell r="I27">
            <v>1</v>
          </cell>
          <cell r="N27" t="str">
            <v>송기태</v>
          </cell>
          <cell r="O27">
            <v>5804191067210</v>
          </cell>
          <cell r="P27">
            <v>43</v>
          </cell>
          <cell r="R27" t="str">
            <v>경기도</v>
          </cell>
          <cell r="S27" t="str">
            <v>남양주시</v>
          </cell>
          <cell r="T27" t="str">
            <v>오남면</v>
          </cell>
          <cell r="U27" t="str">
            <v>오남리</v>
          </cell>
          <cell r="V27" t="str">
            <v>785</v>
          </cell>
          <cell r="W27" t="str">
            <v>두산</v>
          </cell>
          <cell r="X27">
            <v>105</v>
          </cell>
          <cell r="Y27">
            <v>202</v>
          </cell>
          <cell r="Z27">
            <v>315125106</v>
          </cell>
          <cell r="AA27">
            <v>177497106</v>
          </cell>
          <cell r="CF27">
            <v>1</v>
          </cell>
          <cell r="CS27">
            <v>1</v>
          </cell>
          <cell r="DI27">
            <v>1</v>
          </cell>
          <cell r="DW27">
            <v>1</v>
          </cell>
          <cell r="EA27">
            <v>1</v>
          </cell>
          <cell r="EC27">
            <v>1</v>
          </cell>
          <cell r="EE27">
            <v>1</v>
          </cell>
          <cell r="EG27">
            <v>1</v>
          </cell>
          <cell r="EI27">
            <v>1</v>
          </cell>
          <cell r="EK27">
            <v>1</v>
          </cell>
          <cell r="FX27">
            <v>24000000</v>
          </cell>
          <cell r="GN27">
            <v>0</v>
          </cell>
        </row>
        <row r="28">
          <cell r="B28" t="str">
            <v>전기</v>
          </cell>
          <cell r="C28">
            <v>1</v>
          </cell>
          <cell r="D28">
            <v>37488</v>
          </cell>
          <cell r="G28">
            <v>1</v>
          </cell>
          <cell r="H28">
            <v>1</v>
          </cell>
          <cell r="I28">
            <v>1</v>
          </cell>
          <cell r="J28">
            <v>2</v>
          </cell>
          <cell r="K28">
            <v>2</v>
          </cell>
          <cell r="M28">
            <v>1</v>
          </cell>
          <cell r="N28" t="str">
            <v>엄상민</v>
          </cell>
          <cell r="O28" t="str">
            <v>800201-1168018</v>
          </cell>
          <cell r="P28">
            <v>22</v>
          </cell>
          <cell r="R28" t="str">
            <v>경기도</v>
          </cell>
          <cell r="S28" t="str">
            <v>성남시</v>
          </cell>
          <cell r="T28" t="str">
            <v>중원구</v>
          </cell>
          <cell r="U28" t="str">
            <v>상대원2동</v>
          </cell>
          <cell r="V28" t="str">
            <v>3230</v>
          </cell>
          <cell r="Z28">
            <v>317461292</v>
          </cell>
          <cell r="AD28">
            <v>1</v>
          </cell>
          <cell r="BQ28">
            <v>1</v>
          </cell>
          <cell r="CA28">
            <v>1</v>
          </cell>
          <cell r="CB28">
            <v>1</v>
          </cell>
          <cell r="CF28">
            <v>1</v>
          </cell>
          <cell r="CX28">
            <v>1</v>
          </cell>
          <cell r="FW28">
            <v>1100000</v>
          </cell>
          <cell r="FZ28" t="str">
            <v>772-040081-02-101</v>
          </cell>
          <cell r="GK28">
            <v>11</v>
          </cell>
          <cell r="GN28">
            <v>11</v>
          </cell>
        </row>
        <row r="29">
          <cell r="B29" t="str">
            <v>전기</v>
          </cell>
          <cell r="C29">
            <v>1</v>
          </cell>
          <cell r="E29">
            <v>1</v>
          </cell>
          <cell r="G29">
            <v>0</v>
          </cell>
          <cell r="I29">
            <v>1</v>
          </cell>
          <cell r="N29" t="str">
            <v>이근종</v>
          </cell>
          <cell r="O29">
            <v>6405161023323</v>
          </cell>
          <cell r="P29">
            <v>39</v>
          </cell>
          <cell r="R29" t="str">
            <v>경기도</v>
          </cell>
          <cell r="S29" t="str">
            <v>성남시</v>
          </cell>
          <cell r="T29" t="str">
            <v>분당구</v>
          </cell>
          <cell r="U29" t="str">
            <v>야탑동</v>
          </cell>
          <cell r="W29" t="str">
            <v>주공@</v>
          </cell>
          <cell r="X29">
            <v>808</v>
          </cell>
          <cell r="Y29">
            <v>1504</v>
          </cell>
          <cell r="Z29">
            <v>317070286</v>
          </cell>
          <cell r="AA29">
            <v>117900286</v>
          </cell>
          <cell r="CF29">
            <v>1</v>
          </cell>
          <cell r="CX29">
            <v>1</v>
          </cell>
          <cell r="FX29">
            <v>19000000</v>
          </cell>
          <cell r="GN29">
            <v>0</v>
          </cell>
        </row>
        <row r="30">
          <cell r="B30" t="str">
            <v>전기</v>
          </cell>
          <cell r="C30">
            <v>1</v>
          </cell>
          <cell r="D30">
            <v>37459</v>
          </cell>
          <cell r="G30">
            <v>1</v>
          </cell>
          <cell r="H30">
            <v>1</v>
          </cell>
          <cell r="K30">
            <v>2</v>
          </cell>
          <cell r="N30" t="str">
            <v>이동호</v>
          </cell>
          <cell r="O30" t="str">
            <v>710113-1069323</v>
          </cell>
          <cell r="P30">
            <v>32</v>
          </cell>
          <cell r="R30" t="str">
            <v>경기도</v>
          </cell>
          <cell r="S30" t="str">
            <v>수원시</v>
          </cell>
          <cell r="T30" t="str">
            <v>권선구</v>
          </cell>
          <cell r="U30" t="str">
            <v>권선동</v>
          </cell>
          <cell r="V30">
            <v>1298</v>
          </cell>
          <cell r="W30" t="str">
            <v>상록@</v>
          </cell>
          <cell r="X30">
            <v>514</v>
          </cell>
          <cell r="Y30">
            <v>1001</v>
          </cell>
          <cell r="Z30" t="str">
            <v>031-308-9139</v>
          </cell>
          <cell r="AA30">
            <v>113829139</v>
          </cell>
          <cell r="AC30">
            <v>1</v>
          </cell>
          <cell r="AK30">
            <v>1</v>
          </cell>
          <cell r="AU30">
            <v>1</v>
          </cell>
          <cell r="AV30">
            <v>0</v>
          </cell>
          <cell r="AW30">
            <v>0.5</v>
          </cell>
          <cell r="AX30">
            <v>1</v>
          </cell>
          <cell r="BC30">
            <v>1</v>
          </cell>
          <cell r="BM30">
            <v>0</v>
          </cell>
          <cell r="BS30">
            <v>1</v>
          </cell>
          <cell r="BU30">
            <v>1</v>
          </cell>
          <cell r="BV30">
            <v>1</v>
          </cell>
          <cell r="CF30">
            <v>1</v>
          </cell>
          <cell r="CS30">
            <v>1</v>
          </cell>
          <cell r="DI30">
            <v>1</v>
          </cell>
          <cell r="DW30">
            <v>1</v>
          </cell>
          <cell r="EQ30" t="str">
            <v>전기</v>
          </cell>
          <cell r="ER30">
            <v>1</v>
          </cell>
          <cell r="ES30">
            <v>6</v>
          </cell>
          <cell r="ET30">
            <v>1</v>
          </cell>
          <cell r="EU30" t="str">
            <v>전기,방재</v>
          </cell>
          <cell r="FX30">
            <v>23000000</v>
          </cell>
          <cell r="GK30">
            <v>27</v>
          </cell>
          <cell r="GL30">
            <v>90</v>
          </cell>
          <cell r="GN30">
            <v>117</v>
          </cell>
          <cell r="GT30">
            <v>105</v>
          </cell>
          <cell r="GU30">
            <v>34</v>
          </cell>
          <cell r="GV30">
            <v>100</v>
          </cell>
        </row>
        <row r="31">
          <cell r="B31" t="str">
            <v>전기</v>
          </cell>
          <cell r="C31">
            <v>1</v>
          </cell>
          <cell r="D31">
            <v>37488</v>
          </cell>
          <cell r="G31">
            <v>1</v>
          </cell>
          <cell r="H31">
            <v>1</v>
          </cell>
          <cell r="I31">
            <v>1</v>
          </cell>
          <cell r="J31">
            <v>2</v>
          </cell>
          <cell r="K31">
            <v>2</v>
          </cell>
          <cell r="M31">
            <v>1</v>
          </cell>
          <cell r="N31" t="str">
            <v>이형민</v>
          </cell>
          <cell r="O31" t="str">
            <v>791023-1224519</v>
          </cell>
          <cell r="R31" t="str">
            <v>경기도</v>
          </cell>
          <cell r="S31" t="str">
            <v>여주군</v>
          </cell>
          <cell r="T31" t="str">
            <v>흥천면</v>
          </cell>
          <cell r="U31" t="str">
            <v>다대리</v>
          </cell>
          <cell r="V31" t="str">
            <v>8</v>
          </cell>
          <cell r="AA31">
            <v>164761579</v>
          </cell>
          <cell r="CF31">
            <v>1</v>
          </cell>
          <cell r="CX31">
            <v>1</v>
          </cell>
          <cell r="FW31">
            <v>1100000</v>
          </cell>
          <cell r="FZ31" t="str">
            <v>772-040139-02-101</v>
          </cell>
          <cell r="GK31">
            <v>12</v>
          </cell>
          <cell r="GN31">
            <v>12</v>
          </cell>
        </row>
        <row r="32">
          <cell r="B32" t="str">
            <v>전기</v>
          </cell>
          <cell r="C32">
            <v>1</v>
          </cell>
          <cell r="D32">
            <v>37473</v>
          </cell>
          <cell r="G32">
            <v>1</v>
          </cell>
          <cell r="H32">
            <v>1</v>
          </cell>
          <cell r="I32">
            <v>1</v>
          </cell>
          <cell r="J32">
            <v>2</v>
          </cell>
          <cell r="K32">
            <v>2</v>
          </cell>
          <cell r="M32">
            <v>1</v>
          </cell>
          <cell r="N32" t="str">
            <v>이희성</v>
          </cell>
          <cell r="O32">
            <v>7612051524330</v>
          </cell>
          <cell r="P32">
            <v>25</v>
          </cell>
          <cell r="R32" t="str">
            <v>전북</v>
          </cell>
          <cell r="S32" t="str">
            <v>무주군</v>
          </cell>
          <cell r="T32" t="str">
            <v>무주읍</v>
          </cell>
          <cell r="W32" t="str">
            <v>상록아파트</v>
          </cell>
          <cell r="X32" t="str">
            <v>가동</v>
          </cell>
          <cell r="Y32">
            <v>507</v>
          </cell>
          <cell r="AA32">
            <v>163570565</v>
          </cell>
          <cell r="AD32">
            <v>1</v>
          </cell>
          <cell r="BQ32">
            <v>1</v>
          </cell>
          <cell r="BR32">
            <v>1</v>
          </cell>
          <cell r="BX32">
            <v>1</v>
          </cell>
          <cell r="BY32">
            <v>1</v>
          </cell>
          <cell r="CF32">
            <v>1</v>
          </cell>
          <cell r="CX32">
            <v>1</v>
          </cell>
          <cell r="FW32">
            <v>1170000</v>
          </cell>
          <cell r="GK32">
            <v>22</v>
          </cell>
          <cell r="GN32">
            <v>22</v>
          </cell>
        </row>
        <row r="33">
          <cell r="B33" t="str">
            <v>전기</v>
          </cell>
          <cell r="C33">
            <v>1</v>
          </cell>
          <cell r="D33">
            <v>37474</v>
          </cell>
          <cell r="E33">
            <v>1</v>
          </cell>
          <cell r="F33">
            <v>37479</v>
          </cell>
          <cell r="G33">
            <v>0</v>
          </cell>
          <cell r="I33">
            <v>1</v>
          </cell>
          <cell r="J33">
            <v>1</v>
          </cell>
          <cell r="N33" t="str">
            <v>최영춘</v>
          </cell>
          <cell r="O33">
            <v>8001011167411</v>
          </cell>
          <cell r="P33">
            <v>22</v>
          </cell>
          <cell r="R33" t="str">
            <v>경기도</v>
          </cell>
          <cell r="S33" t="str">
            <v>성남시</v>
          </cell>
          <cell r="T33" t="str">
            <v>수정구</v>
          </cell>
          <cell r="U33" t="str">
            <v>신흥동</v>
          </cell>
          <cell r="V33" t="str">
            <v>4677-2번지</v>
          </cell>
          <cell r="Z33">
            <v>7575711</v>
          </cell>
          <cell r="AA33">
            <v>182574772</v>
          </cell>
          <cell r="AD33">
            <v>1</v>
          </cell>
          <cell r="CF33">
            <v>1</v>
          </cell>
          <cell r="CX33">
            <v>1</v>
          </cell>
          <cell r="DW33">
            <v>1</v>
          </cell>
          <cell r="EA33">
            <v>1</v>
          </cell>
          <cell r="FW33">
            <v>1000000</v>
          </cell>
          <cell r="GK33">
            <v>6</v>
          </cell>
          <cell r="GL33">
            <v>4</v>
          </cell>
          <cell r="GN33">
            <v>10</v>
          </cell>
        </row>
        <row r="34">
          <cell r="B34" t="str">
            <v>방재</v>
          </cell>
          <cell r="C34">
            <v>1</v>
          </cell>
          <cell r="D34">
            <v>37474</v>
          </cell>
          <cell r="G34">
            <v>1</v>
          </cell>
          <cell r="H34">
            <v>1</v>
          </cell>
          <cell r="I34">
            <v>1</v>
          </cell>
          <cell r="J34">
            <v>2</v>
          </cell>
          <cell r="K34">
            <v>2</v>
          </cell>
          <cell r="N34" t="str">
            <v>김강식</v>
          </cell>
          <cell r="O34">
            <v>7303201332915</v>
          </cell>
          <cell r="P34">
            <v>29</v>
          </cell>
          <cell r="R34" t="str">
            <v>경기도</v>
          </cell>
          <cell r="S34" t="str">
            <v>성남시</v>
          </cell>
          <cell r="T34" t="str">
            <v>수정구</v>
          </cell>
          <cell r="U34" t="str">
            <v>신흥1동</v>
          </cell>
          <cell r="V34" t="str">
            <v>5546번지</v>
          </cell>
          <cell r="Z34">
            <v>7547599</v>
          </cell>
          <cell r="AA34">
            <v>162687599</v>
          </cell>
          <cell r="CG34">
            <v>1</v>
          </cell>
          <cell r="CV34">
            <v>1</v>
          </cell>
          <cell r="FX34">
            <v>18000000</v>
          </cell>
          <cell r="FZ34" t="str">
            <v>772-040991-02-101</v>
          </cell>
          <cell r="GK34">
            <v>27</v>
          </cell>
          <cell r="GL34">
            <v>90</v>
          </cell>
          <cell r="GN34">
            <v>117</v>
          </cell>
        </row>
        <row r="35">
          <cell r="B35" t="str">
            <v>방재</v>
          </cell>
          <cell r="C35">
            <v>1</v>
          </cell>
          <cell r="D35">
            <v>37478</v>
          </cell>
          <cell r="G35">
            <v>1</v>
          </cell>
          <cell r="H35">
            <v>1</v>
          </cell>
          <cell r="I35">
            <v>1</v>
          </cell>
          <cell r="J35">
            <v>2</v>
          </cell>
          <cell r="K35">
            <v>2</v>
          </cell>
          <cell r="N35" t="str">
            <v>김유신</v>
          </cell>
          <cell r="O35">
            <v>7205081046814</v>
          </cell>
          <cell r="P35">
            <v>30</v>
          </cell>
          <cell r="R35" t="str">
            <v>경기도</v>
          </cell>
          <cell r="S35" t="str">
            <v>용인시</v>
          </cell>
          <cell r="T35" t="str">
            <v>기흥읍</v>
          </cell>
          <cell r="U35" t="str">
            <v>구갈리</v>
          </cell>
          <cell r="V35" t="str">
            <v>365-4</v>
          </cell>
          <cell r="Y35" t="str">
            <v>304호</v>
          </cell>
          <cell r="AA35">
            <v>1196517904</v>
          </cell>
          <cell r="AC35">
            <v>1</v>
          </cell>
          <cell r="BS35">
            <v>1</v>
          </cell>
          <cell r="CG35">
            <v>1</v>
          </cell>
          <cell r="CX35">
            <v>1</v>
          </cell>
          <cell r="FX35">
            <v>16000000</v>
          </cell>
          <cell r="FZ35" t="str">
            <v>772-041321-02-101</v>
          </cell>
          <cell r="GK35">
            <v>27</v>
          </cell>
          <cell r="GN35">
            <v>27</v>
          </cell>
        </row>
        <row r="36">
          <cell r="B36" t="str">
            <v>방재</v>
          </cell>
          <cell r="C36">
            <v>1</v>
          </cell>
          <cell r="D36">
            <v>37475</v>
          </cell>
          <cell r="G36">
            <v>1</v>
          </cell>
          <cell r="H36">
            <v>1</v>
          </cell>
          <cell r="I36">
            <v>1</v>
          </cell>
          <cell r="J36">
            <v>2</v>
          </cell>
          <cell r="K36">
            <v>2</v>
          </cell>
          <cell r="M36">
            <v>1</v>
          </cell>
          <cell r="N36" t="str">
            <v>이창해</v>
          </cell>
          <cell r="O36">
            <v>7708111079417</v>
          </cell>
          <cell r="P36">
            <v>25</v>
          </cell>
          <cell r="R36" t="str">
            <v>서울시</v>
          </cell>
          <cell r="S36" t="str">
            <v>서울시</v>
          </cell>
          <cell r="T36" t="str">
            <v>강동구</v>
          </cell>
          <cell r="U36" t="str">
            <v>천호2동</v>
          </cell>
          <cell r="V36" t="str">
            <v>466-34번지</v>
          </cell>
          <cell r="Z36">
            <v>24735943</v>
          </cell>
          <cell r="AA36">
            <v>162565943</v>
          </cell>
          <cell r="AD36">
            <v>1</v>
          </cell>
          <cell r="BQ36">
            <v>1</v>
          </cell>
          <cell r="BR36">
            <v>1</v>
          </cell>
          <cell r="BX36">
            <v>1</v>
          </cell>
          <cell r="CB36">
            <v>1</v>
          </cell>
          <cell r="CG36">
            <v>1</v>
          </cell>
          <cell r="CX36">
            <v>1</v>
          </cell>
          <cell r="FX36">
            <v>14000000</v>
          </cell>
          <cell r="FZ36" t="str">
            <v>108-135972-02-103</v>
          </cell>
          <cell r="GK36">
            <v>27</v>
          </cell>
          <cell r="GN36">
            <v>27</v>
          </cell>
        </row>
        <row r="37">
          <cell r="B37" t="str">
            <v>방재</v>
          </cell>
          <cell r="C37">
            <v>1</v>
          </cell>
          <cell r="D37">
            <v>37483</v>
          </cell>
          <cell r="G37">
            <v>1</v>
          </cell>
          <cell r="H37" t="str">
            <v>퇴근</v>
          </cell>
          <cell r="I37">
            <v>1</v>
          </cell>
          <cell r="J37">
            <v>2</v>
          </cell>
          <cell r="K37">
            <v>2</v>
          </cell>
          <cell r="N37" t="str">
            <v>조경재</v>
          </cell>
          <cell r="O37">
            <v>7407101017225</v>
          </cell>
          <cell r="P37">
            <v>28</v>
          </cell>
          <cell r="R37" t="str">
            <v>경기도</v>
          </cell>
          <cell r="S37" t="str">
            <v>남양주시</v>
          </cell>
          <cell r="T37" t="str">
            <v>진정읍</v>
          </cell>
          <cell r="U37" t="str">
            <v>장현리</v>
          </cell>
          <cell r="W37" t="str">
            <v>현대</v>
          </cell>
          <cell r="X37">
            <v>102</v>
          </cell>
          <cell r="Y37">
            <v>205</v>
          </cell>
          <cell r="CG37">
            <v>1</v>
          </cell>
          <cell r="CX37">
            <v>1</v>
          </cell>
          <cell r="FX37">
            <v>16000000</v>
          </cell>
          <cell r="FZ37" t="str">
            <v>148-07-241470</v>
          </cell>
          <cell r="GK37">
            <v>15</v>
          </cell>
          <cell r="GN37">
            <v>15</v>
          </cell>
        </row>
        <row r="38">
          <cell r="B38" t="str">
            <v>영선</v>
          </cell>
          <cell r="C38">
            <v>1</v>
          </cell>
          <cell r="D38">
            <v>37461</v>
          </cell>
          <cell r="G38">
            <v>1</v>
          </cell>
          <cell r="H38">
            <v>1</v>
          </cell>
          <cell r="I38">
            <v>1</v>
          </cell>
          <cell r="J38">
            <v>2</v>
          </cell>
          <cell r="K38">
            <v>3</v>
          </cell>
          <cell r="N38" t="str">
            <v>권영우</v>
          </cell>
          <cell r="O38">
            <v>3904261009711</v>
          </cell>
          <cell r="P38">
            <v>63</v>
          </cell>
          <cell r="R38" t="str">
            <v>서울시</v>
          </cell>
          <cell r="S38" t="str">
            <v>서울시</v>
          </cell>
          <cell r="T38" t="str">
            <v>동대문구</v>
          </cell>
          <cell r="U38" t="str">
            <v>장안동</v>
          </cell>
          <cell r="V38" t="str">
            <v>419-2</v>
          </cell>
          <cell r="Y38" t="str">
            <v>202호</v>
          </cell>
          <cell r="Z38" t="str">
            <v>02-2245-8872</v>
          </cell>
          <cell r="AA38">
            <v>194278872</v>
          </cell>
          <cell r="AE38">
            <v>1</v>
          </cell>
          <cell r="BU38">
            <v>1</v>
          </cell>
          <cell r="BV38">
            <v>1</v>
          </cell>
          <cell r="CC38">
            <v>1</v>
          </cell>
          <cell r="CJ38">
            <v>1</v>
          </cell>
          <cell r="CX38">
            <v>1</v>
          </cell>
          <cell r="CY38">
            <v>1</v>
          </cell>
          <cell r="DC38">
            <v>1</v>
          </cell>
          <cell r="FW38">
            <v>1100000</v>
          </cell>
          <cell r="GK38">
            <v>27</v>
          </cell>
          <cell r="GN38">
            <v>27</v>
          </cell>
        </row>
        <row r="39">
          <cell r="B39" t="str">
            <v>영선</v>
          </cell>
          <cell r="C39">
            <v>1</v>
          </cell>
          <cell r="D39">
            <v>37483</v>
          </cell>
          <cell r="E39">
            <v>1</v>
          </cell>
          <cell r="G39">
            <v>1</v>
          </cell>
          <cell r="H39">
            <v>1</v>
          </cell>
          <cell r="I39">
            <v>1</v>
          </cell>
          <cell r="J39">
            <v>2</v>
          </cell>
          <cell r="K39">
            <v>2</v>
          </cell>
          <cell r="N39" t="str">
            <v>김대원</v>
          </cell>
          <cell r="O39" t="str">
            <v>590313-1167810</v>
          </cell>
          <cell r="P39">
            <v>43</v>
          </cell>
          <cell r="R39" t="str">
            <v>경기도</v>
          </cell>
          <cell r="S39" t="str">
            <v>성남시</v>
          </cell>
          <cell r="T39" t="str">
            <v>수정구</v>
          </cell>
          <cell r="U39" t="str">
            <v>수진1동</v>
          </cell>
          <cell r="V39" t="str">
            <v>842</v>
          </cell>
          <cell r="AA39">
            <v>177214150</v>
          </cell>
          <cell r="CJ39">
            <v>1</v>
          </cell>
          <cell r="CX39">
            <v>1</v>
          </cell>
          <cell r="FW39">
            <v>1100000</v>
          </cell>
          <cell r="FZ39" t="str">
            <v>798-203144-02-001</v>
          </cell>
          <cell r="GK39">
            <v>15</v>
          </cell>
          <cell r="GN39">
            <v>15</v>
          </cell>
        </row>
        <row r="40">
          <cell r="B40" t="str">
            <v>영선</v>
          </cell>
          <cell r="C40">
            <v>1</v>
          </cell>
          <cell r="E40">
            <v>1</v>
          </cell>
          <cell r="G40">
            <v>0</v>
          </cell>
          <cell r="I40">
            <v>1</v>
          </cell>
          <cell r="N40" t="str">
            <v>김명언</v>
          </cell>
          <cell r="O40" t="str">
            <v>450426-1535213</v>
          </cell>
          <cell r="P40">
            <v>56</v>
          </cell>
          <cell r="R40" t="str">
            <v>서울시</v>
          </cell>
          <cell r="S40" t="str">
            <v>서울시</v>
          </cell>
          <cell r="T40" t="str">
            <v>동대문구</v>
          </cell>
          <cell r="U40" t="str">
            <v>답십리3동</v>
          </cell>
          <cell r="W40" t="str">
            <v>태양</v>
          </cell>
          <cell r="X40" t="str">
            <v>라동</v>
          </cell>
          <cell r="Y40">
            <v>305</v>
          </cell>
          <cell r="Z40">
            <v>222466765</v>
          </cell>
          <cell r="AA40">
            <v>1190176765</v>
          </cell>
          <cell r="CJ40">
            <v>1</v>
          </cell>
          <cell r="CX40">
            <v>1</v>
          </cell>
          <cell r="GN40">
            <v>0</v>
          </cell>
        </row>
        <row r="41">
          <cell r="B41" t="str">
            <v>영선</v>
          </cell>
          <cell r="C41">
            <v>1</v>
          </cell>
          <cell r="D41">
            <v>37469</v>
          </cell>
          <cell r="G41">
            <v>1</v>
          </cell>
          <cell r="H41">
            <v>1</v>
          </cell>
          <cell r="I41">
            <v>1</v>
          </cell>
          <cell r="J41">
            <v>2</v>
          </cell>
          <cell r="K41">
            <v>1</v>
          </cell>
          <cell r="N41" t="str">
            <v>문용균</v>
          </cell>
          <cell r="O41">
            <v>6002221644728</v>
          </cell>
          <cell r="P41">
            <v>43</v>
          </cell>
          <cell r="R41" t="str">
            <v>경기도</v>
          </cell>
          <cell r="S41" t="str">
            <v>성남시</v>
          </cell>
          <cell r="T41" t="str">
            <v>수정구</v>
          </cell>
          <cell r="U41" t="str">
            <v>태평동</v>
          </cell>
          <cell r="V41" t="str">
            <v>3705-23</v>
          </cell>
          <cell r="W41" t="str">
            <v>성일맨션</v>
          </cell>
          <cell r="Y41" t="str">
            <v>202호</v>
          </cell>
          <cell r="Z41">
            <v>7537418</v>
          </cell>
          <cell r="AC41">
            <v>1</v>
          </cell>
          <cell r="BS41">
            <v>1</v>
          </cell>
          <cell r="BU41">
            <v>1</v>
          </cell>
          <cell r="BV41">
            <v>1</v>
          </cell>
          <cell r="BW41">
            <v>1</v>
          </cell>
          <cell r="CJ41">
            <v>1</v>
          </cell>
          <cell r="CV41">
            <v>1</v>
          </cell>
          <cell r="EZ41">
            <v>1</v>
          </cell>
          <cell r="FA41">
            <v>1</v>
          </cell>
          <cell r="FB41">
            <v>1</v>
          </cell>
          <cell r="FW41">
            <v>1300000</v>
          </cell>
          <cell r="GK41">
            <v>27</v>
          </cell>
          <cell r="GL41">
            <v>28</v>
          </cell>
          <cell r="GN41">
            <v>55</v>
          </cell>
        </row>
        <row r="42">
          <cell r="B42" t="str">
            <v>영선</v>
          </cell>
          <cell r="C42">
            <v>1</v>
          </cell>
          <cell r="D42">
            <v>37457</v>
          </cell>
          <cell r="G42">
            <v>1</v>
          </cell>
          <cell r="H42">
            <v>1</v>
          </cell>
          <cell r="I42">
            <v>1</v>
          </cell>
          <cell r="J42">
            <v>2</v>
          </cell>
          <cell r="N42" t="str">
            <v>신영수</v>
          </cell>
          <cell r="O42" t="str">
            <v>420321-1168119</v>
          </cell>
          <cell r="P42">
            <v>60</v>
          </cell>
          <cell r="R42" t="str">
            <v>경기도</v>
          </cell>
          <cell r="S42" t="str">
            <v>성남시</v>
          </cell>
          <cell r="U42" t="str">
            <v>상대원</v>
          </cell>
          <cell r="V42">
            <v>1077</v>
          </cell>
          <cell r="Z42" t="str">
            <v>748-2136</v>
          </cell>
          <cell r="AA42">
            <v>162222136</v>
          </cell>
          <cell r="AC42">
            <v>1</v>
          </cell>
          <cell r="BS42">
            <v>1</v>
          </cell>
          <cell r="BU42">
            <v>1</v>
          </cell>
          <cell r="CJ42">
            <v>1</v>
          </cell>
          <cell r="CX42">
            <v>1</v>
          </cell>
          <cell r="FW42">
            <v>1100000</v>
          </cell>
          <cell r="GK42">
            <v>27</v>
          </cell>
          <cell r="GN42">
            <v>27</v>
          </cell>
        </row>
        <row r="43">
          <cell r="B43" t="str">
            <v>영선</v>
          </cell>
          <cell r="C43">
            <v>1</v>
          </cell>
          <cell r="D43">
            <v>37466</v>
          </cell>
          <cell r="G43">
            <v>1</v>
          </cell>
          <cell r="H43">
            <v>1</v>
          </cell>
          <cell r="I43">
            <v>0.5</v>
          </cell>
          <cell r="J43">
            <v>2</v>
          </cell>
          <cell r="K43">
            <v>2</v>
          </cell>
          <cell r="N43" t="str">
            <v>이충덕</v>
          </cell>
          <cell r="O43">
            <v>5403061149615</v>
          </cell>
          <cell r="S43" t="str">
            <v>인천광역시</v>
          </cell>
          <cell r="T43" t="str">
            <v>남구</v>
          </cell>
          <cell r="U43" t="str">
            <v>도화동</v>
          </cell>
          <cell r="V43" t="str">
            <v>597</v>
          </cell>
          <cell r="W43" t="str">
            <v>AID</v>
          </cell>
          <cell r="X43">
            <v>9</v>
          </cell>
          <cell r="Y43">
            <v>305</v>
          </cell>
          <cell r="Z43">
            <v>325168941</v>
          </cell>
          <cell r="AA43">
            <v>163028941</v>
          </cell>
          <cell r="AC43">
            <v>1</v>
          </cell>
          <cell r="BS43">
            <v>1</v>
          </cell>
          <cell r="BU43">
            <v>1</v>
          </cell>
          <cell r="CJ43">
            <v>1</v>
          </cell>
          <cell r="CX43">
            <v>1</v>
          </cell>
          <cell r="FW43">
            <v>1200000</v>
          </cell>
          <cell r="GK43">
            <v>27</v>
          </cell>
          <cell r="GN43">
            <v>27</v>
          </cell>
        </row>
        <row r="44">
          <cell r="B44" t="str">
            <v>환경</v>
          </cell>
          <cell r="C44">
            <v>1</v>
          </cell>
          <cell r="D44">
            <v>37469</v>
          </cell>
          <cell r="G44">
            <v>1</v>
          </cell>
          <cell r="H44">
            <v>1</v>
          </cell>
          <cell r="I44">
            <v>1</v>
          </cell>
          <cell r="J44">
            <v>2</v>
          </cell>
          <cell r="K44">
            <v>1</v>
          </cell>
          <cell r="M44">
            <v>1</v>
          </cell>
          <cell r="N44" t="str">
            <v>이인우</v>
          </cell>
          <cell r="O44" t="str">
            <v>741015-1056414</v>
          </cell>
          <cell r="R44" t="str">
            <v>경기도</v>
          </cell>
          <cell r="S44" t="str">
            <v>수원시</v>
          </cell>
          <cell r="T44" t="str">
            <v>팔달구</v>
          </cell>
          <cell r="U44" t="str">
            <v>영통동</v>
          </cell>
          <cell r="V44" t="str">
            <v>청명마을</v>
          </cell>
          <cell r="W44" t="str">
            <v>삼익</v>
          </cell>
          <cell r="X44">
            <v>321</v>
          </cell>
          <cell r="Y44">
            <v>802</v>
          </cell>
          <cell r="Z44">
            <v>312027139</v>
          </cell>
          <cell r="AA44">
            <v>162976414</v>
          </cell>
          <cell r="AD44">
            <v>1</v>
          </cell>
          <cell r="BQ44">
            <v>1</v>
          </cell>
          <cell r="BR44">
            <v>1</v>
          </cell>
          <cell r="BY44">
            <v>1</v>
          </cell>
          <cell r="CI44">
            <v>1</v>
          </cell>
          <cell r="CX44">
            <v>1</v>
          </cell>
          <cell r="DS44">
            <v>1</v>
          </cell>
          <cell r="FW44">
            <v>1330000</v>
          </cell>
          <cell r="FZ44" t="str">
            <v>772-008144-02-101</v>
          </cell>
          <cell r="GK44">
            <v>27</v>
          </cell>
          <cell r="GN44">
            <v>27</v>
          </cell>
        </row>
        <row r="45">
          <cell r="B45" t="str">
            <v>조경</v>
          </cell>
          <cell r="C45">
            <v>1</v>
          </cell>
          <cell r="D45">
            <v>37469</v>
          </cell>
          <cell r="G45">
            <v>1</v>
          </cell>
          <cell r="H45">
            <v>1</v>
          </cell>
          <cell r="I45">
            <v>1</v>
          </cell>
          <cell r="J45">
            <v>2</v>
          </cell>
          <cell r="K45">
            <v>2</v>
          </cell>
          <cell r="M45">
            <v>1</v>
          </cell>
          <cell r="N45" t="str">
            <v>이남수</v>
          </cell>
          <cell r="O45" t="str">
            <v>581003-1657114</v>
          </cell>
          <cell r="P45">
            <v>44</v>
          </cell>
          <cell r="R45" t="str">
            <v>경기도</v>
          </cell>
          <cell r="S45" t="str">
            <v>성남시</v>
          </cell>
          <cell r="T45" t="str">
            <v>중원구</v>
          </cell>
          <cell r="U45" t="str">
            <v>중동</v>
          </cell>
          <cell r="V45" t="str">
            <v>1614-6</v>
          </cell>
          <cell r="Z45">
            <v>317443276</v>
          </cell>
          <cell r="AA45">
            <v>1190453275</v>
          </cell>
          <cell r="AE45">
            <v>1</v>
          </cell>
          <cell r="BU45">
            <v>1</v>
          </cell>
          <cell r="BV45">
            <v>1</v>
          </cell>
          <cell r="CK45">
            <v>1</v>
          </cell>
          <cell r="CX45">
            <v>1</v>
          </cell>
          <cell r="FW45">
            <v>1250000</v>
          </cell>
          <cell r="FZ45" t="str">
            <v>768-110800-12-002</v>
          </cell>
          <cell r="GK45">
            <v>27</v>
          </cell>
          <cell r="GN45">
            <v>27</v>
          </cell>
        </row>
        <row r="46">
          <cell r="B46" t="str">
            <v>보안</v>
          </cell>
          <cell r="C46">
            <v>1</v>
          </cell>
          <cell r="D46">
            <v>37473</v>
          </cell>
          <cell r="G46">
            <v>1</v>
          </cell>
          <cell r="H46">
            <v>1</v>
          </cell>
          <cell r="I46">
            <v>0.5</v>
          </cell>
          <cell r="J46">
            <v>2</v>
          </cell>
          <cell r="K46">
            <v>2</v>
          </cell>
          <cell r="N46" t="str">
            <v>김성열</v>
          </cell>
          <cell r="O46">
            <v>4501011648617</v>
          </cell>
          <cell r="P46">
            <v>57</v>
          </cell>
          <cell r="R46" t="str">
            <v>경기도</v>
          </cell>
          <cell r="S46" t="str">
            <v>성남시</v>
          </cell>
          <cell r="T46" t="str">
            <v>수정구</v>
          </cell>
          <cell r="U46" t="str">
            <v>수진1동</v>
          </cell>
          <cell r="V46" t="str">
            <v>1100번지</v>
          </cell>
          <cell r="Z46">
            <v>317510743</v>
          </cell>
          <cell r="AC46">
            <v>1</v>
          </cell>
          <cell r="BS46">
            <v>1</v>
          </cell>
          <cell r="BU46">
            <v>1</v>
          </cell>
          <cell r="BV46">
            <v>1</v>
          </cell>
          <cell r="BW46">
            <v>1</v>
          </cell>
          <cell r="CL46">
            <v>1</v>
          </cell>
          <cell r="CW46">
            <v>1</v>
          </cell>
          <cell r="FW46">
            <v>1030000</v>
          </cell>
          <cell r="FZ46" t="str">
            <v>398-08-056809</v>
          </cell>
          <cell r="GK46">
            <v>23</v>
          </cell>
          <cell r="GN46">
            <v>23</v>
          </cell>
        </row>
        <row r="47">
          <cell r="B47" t="str">
            <v>보안</v>
          </cell>
          <cell r="C47">
            <v>1</v>
          </cell>
          <cell r="D47">
            <v>37468</v>
          </cell>
          <cell r="E47">
            <v>1</v>
          </cell>
          <cell r="F47">
            <v>37469</v>
          </cell>
          <cell r="G47">
            <v>0.5</v>
          </cell>
          <cell r="H47">
            <v>1</v>
          </cell>
          <cell r="I47">
            <v>1</v>
          </cell>
          <cell r="N47" t="str">
            <v>김충위</v>
          </cell>
          <cell r="O47">
            <v>4107031221218</v>
          </cell>
          <cell r="P47">
            <v>61</v>
          </cell>
          <cell r="R47" t="str">
            <v>경기도</v>
          </cell>
          <cell r="S47" t="str">
            <v>성남시</v>
          </cell>
          <cell r="T47" t="str">
            <v>중원구</v>
          </cell>
          <cell r="U47" t="str">
            <v>은행2동</v>
          </cell>
          <cell r="V47" t="str">
            <v>1161</v>
          </cell>
          <cell r="W47" t="str">
            <v>보람B/L</v>
          </cell>
          <cell r="Y47">
            <v>402</v>
          </cell>
          <cell r="Z47">
            <v>7413379</v>
          </cell>
          <cell r="AA47">
            <v>162843379</v>
          </cell>
          <cell r="CL47">
            <v>1</v>
          </cell>
          <cell r="CX47">
            <v>1</v>
          </cell>
          <cell r="FW47">
            <v>830000</v>
          </cell>
          <cell r="GK47">
            <v>2</v>
          </cell>
          <cell r="GL47">
            <v>2</v>
          </cell>
          <cell r="GN47">
            <v>4</v>
          </cell>
        </row>
        <row r="48">
          <cell r="B48" t="str">
            <v>보안</v>
          </cell>
          <cell r="C48">
            <v>1</v>
          </cell>
          <cell r="D48">
            <v>37469</v>
          </cell>
          <cell r="E48">
            <v>1</v>
          </cell>
          <cell r="F48">
            <v>37470</v>
          </cell>
          <cell r="G48">
            <v>0</v>
          </cell>
          <cell r="H48">
            <v>0.5</v>
          </cell>
          <cell r="I48">
            <v>1</v>
          </cell>
          <cell r="J48">
            <v>2</v>
          </cell>
          <cell r="K48">
            <v>2</v>
          </cell>
          <cell r="N48" t="str">
            <v>박상균</v>
          </cell>
          <cell r="O48">
            <v>4302201006017</v>
          </cell>
          <cell r="P48">
            <v>58</v>
          </cell>
          <cell r="R48" t="str">
            <v>경기도</v>
          </cell>
          <cell r="S48" t="str">
            <v>성남시</v>
          </cell>
          <cell r="T48" t="str">
            <v>중원구</v>
          </cell>
          <cell r="U48" t="str">
            <v>중동</v>
          </cell>
          <cell r="V48" t="str">
            <v>1678-1층</v>
          </cell>
          <cell r="Z48">
            <v>317328720</v>
          </cell>
          <cell r="AA48">
            <v>167453938</v>
          </cell>
          <cell r="AC48">
            <v>1</v>
          </cell>
          <cell r="BS48">
            <v>1</v>
          </cell>
          <cell r="BU48">
            <v>1</v>
          </cell>
          <cell r="BV48">
            <v>1</v>
          </cell>
          <cell r="CL48">
            <v>1</v>
          </cell>
          <cell r="CW48">
            <v>1</v>
          </cell>
          <cell r="FW48">
            <v>910000</v>
          </cell>
          <cell r="GK48">
            <v>2</v>
          </cell>
          <cell r="GL48">
            <v>2</v>
          </cell>
          <cell r="GN48">
            <v>4</v>
          </cell>
        </row>
        <row r="49">
          <cell r="B49" t="str">
            <v>보안</v>
          </cell>
          <cell r="C49">
            <v>1</v>
          </cell>
          <cell r="D49">
            <v>37469</v>
          </cell>
          <cell r="G49">
            <v>1</v>
          </cell>
          <cell r="H49">
            <v>1</v>
          </cell>
          <cell r="I49">
            <v>1</v>
          </cell>
          <cell r="J49">
            <v>2</v>
          </cell>
          <cell r="K49">
            <v>2</v>
          </cell>
          <cell r="N49" t="str">
            <v>양동희</v>
          </cell>
          <cell r="O49">
            <v>4305101046214</v>
          </cell>
          <cell r="P49">
            <v>60</v>
          </cell>
          <cell r="R49" t="str">
            <v>서울시</v>
          </cell>
          <cell r="S49" t="str">
            <v>서울시</v>
          </cell>
          <cell r="T49" t="str">
            <v>마포구</v>
          </cell>
          <cell r="U49" t="str">
            <v>아현동</v>
          </cell>
          <cell r="V49" t="str">
            <v>665-3</v>
          </cell>
          <cell r="X49">
            <v>9</v>
          </cell>
          <cell r="Y49">
            <v>3</v>
          </cell>
          <cell r="Z49">
            <v>23135073</v>
          </cell>
          <cell r="AC49">
            <v>1</v>
          </cell>
          <cell r="BS49">
            <v>1</v>
          </cell>
          <cell r="BU49">
            <v>1</v>
          </cell>
          <cell r="BV49">
            <v>1</v>
          </cell>
          <cell r="CL49">
            <v>1</v>
          </cell>
          <cell r="CX49">
            <v>1</v>
          </cell>
          <cell r="FW49">
            <v>1200000</v>
          </cell>
          <cell r="GK49">
            <v>27</v>
          </cell>
          <cell r="GN49">
            <v>27</v>
          </cell>
        </row>
        <row r="50">
          <cell r="B50" t="str">
            <v>보안</v>
          </cell>
          <cell r="C50">
            <v>1</v>
          </cell>
          <cell r="D50">
            <v>37469</v>
          </cell>
          <cell r="G50">
            <v>1</v>
          </cell>
          <cell r="H50">
            <v>1</v>
          </cell>
          <cell r="I50">
            <v>1</v>
          </cell>
          <cell r="J50">
            <v>2</v>
          </cell>
          <cell r="K50">
            <v>2</v>
          </cell>
          <cell r="N50" t="str">
            <v>유재근</v>
          </cell>
          <cell r="O50">
            <v>4808231018511</v>
          </cell>
          <cell r="R50" t="str">
            <v>서울시</v>
          </cell>
          <cell r="S50" t="str">
            <v>서울시</v>
          </cell>
          <cell r="T50" t="str">
            <v>성동구</v>
          </cell>
          <cell r="U50" t="str">
            <v>금호동4가</v>
          </cell>
          <cell r="V50" t="str">
            <v>801</v>
          </cell>
          <cell r="W50" t="str">
            <v>금호동대우</v>
          </cell>
          <cell r="X50">
            <v>201</v>
          </cell>
          <cell r="Y50">
            <v>1407</v>
          </cell>
          <cell r="Z50">
            <v>326750009</v>
          </cell>
          <cell r="AE50">
            <v>1</v>
          </cell>
          <cell r="BU50">
            <v>1</v>
          </cell>
          <cell r="CC50">
            <v>1</v>
          </cell>
          <cell r="CL50">
            <v>1</v>
          </cell>
          <cell r="CX50">
            <v>1</v>
          </cell>
          <cell r="FW50">
            <v>910000</v>
          </cell>
          <cell r="FZ50" t="str">
            <v>772-040201-02-101</v>
          </cell>
          <cell r="GK50">
            <v>27</v>
          </cell>
          <cell r="GL50">
            <v>10</v>
          </cell>
          <cell r="GN50">
            <v>37</v>
          </cell>
        </row>
        <row r="51">
          <cell r="B51" t="str">
            <v>보안</v>
          </cell>
          <cell r="C51">
            <v>1</v>
          </cell>
          <cell r="D51">
            <v>37481</v>
          </cell>
          <cell r="E51">
            <v>1</v>
          </cell>
          <cell r="F51">
            <v>37482</v>
          </cell>
          <cell r="G51">
            <v>0</v>
          </cell>
          <cell r="I51">
            <v>1</v>
          </cell>
          <cell r="N51" t="str">
            <v>이명용</v>
          </cell>
          <cell r="O51">
            <v>4604071036213</v>
          </cell>
          <cell r="P51">
            <v>56</v>
          </cell>
          <cell r="R51" t="str">
            <v>경기도</v>
          </cell>
          <cell r="S51" t="str">
            <v>수원시</v>
          </cell>
          <cell r="T51" t="str">
            <v>장안구</v>
          </cell>
          <cell r="U51" t="str">
            <v>연무동</v>
          </cell>
          <cell r="V51" t="str">
            <v>253-28</v>
          </cell>
          <cell r="Z51">
            <v>312510804</v>
          </cell>
          <cell r="AA51">
            <v>114304523</v>
          </cell>
          <cell r="CL51">
            <v>1</v>
          </cell>
          <cell r="CX51">
            <v>1</v>
          </cell>
          <cell r="FW51">
            <v>910000</v>
          </cell>
          <cell r="GK51">
            <v>2</v>
          </cell>
          <cell r="GN51">
            <v>2</v>
          </cell>
        </row>
        <row r="52">
          <cell r="B52" t="str">
            <v>보안</v>
          </cell>
          <cell r="C52">
            <v>1</v>
          </cell>
          <cell r="D52">
            <v>37469</v>
          </cell>
          <cell r="E52">
            <v>1</v>
          </cell>
          <cell r="F52">
            <v>37469</v>
          </cell>
          <cell r="G52">
            <v>0</v>
          </cell>
          <cell r="I52">
            <v>1</v>
          </cell>
          <cell r="N52" t="str">
            <v>이상택</v>
          </cell>
          <cell r="O52">
            <v>5110141656921</v>
          </cell>
          <cell r="P52">
            <v>51</v>
          </cell>
          <cell r="R52" t="str">
            <v>경기도</v>
          </cell>
          <cell r="S52" t="str">
            <v>성남시</v>
          </cell>
          <cell r="T52" t="str">
            <v>수정구</v>
          </cell>
          <cell r="U52" t="str">
            <v>태평2동</v>
          </cell>
          <cell r="V52" t="str">
            <v>3307-25</v>
          </cell>
          <cell r="Z52">
            <v>7575029</v>
          </cell>
          <cell r="AA52">
            <v>163769953</v>
          </cell>
          <cell r="AC52">
            <v>1</v>
          </cell>
          <cell r="AG52">
            <v>1</v>
          </cell>
          <cell r="BA52">
            <v>1</v>
          </cell>
          <cell r="BS52">
            <v>1</v>
          </cell>
          <cell r="BU52">
            <v>1</v>
          </cell>
          <cell r="BV52">
            <v>1</v>
          </cell>
          <cell r="CL52">
            <v>1</v>
          </cell>
          <cell r="CX52">
            <v>1</v>
          </cell>
          <cell r="ER52">
            <v>1</v>
          </cell>
          <cell r="ES52">
            <v>22</v>
          </cell>
          <cell r="EU52" t="str">
            <v>응급실</v>
          </cell>
          <cell r="FO52">
            <v>750000</v>
          </cell>
          <cell r="FR52">
            <v>1</v>
          </cell>
          <cell r="FW52">
            <v>0</v>
          </cell>
          <cell r="GK52">
            <v>1</v>
          </cell>
          <cell r="GN52">
            <v>1</v>
          </cell>
        </row>
        <row r="53">
          <cell r="B53" t="str">
            <v>보안</v>
          </cell>
          <cell r="D53">
            <v>37480</v>
          </cell>
          <cell r="E53">
            <v>1</v>
          </cell>
          <cell r="F53">
            <v>37480</v>
          </cell>
          <cell r="G53">
            <v>0</v>
          </cell>
          <cell r="I53">
            <v>1</v>
          </cell>
          <cell r="N53" t="str">
            <v>임재균</v>
          </cell>
          <cell r="O53">
            <v>5701191169010</v>
          </cell>
          <cell r="P53">
            <v>45</v>
          </cell>
          <cell r="R53" t="str">
            <v>경기도</v>
          </cell>
          <cell r="S53" t="str">
            <v>용인시</v>
          </cell>
          <cell r="T53" t="str">
            <v>수지읍</v>
          </cell>
          <cell r="U53" t="str">
            <v>풍덕천리</v>
          </cell>
          <cell r="W53" t="str">
            <v>한성</v>
          </cell>
          <cell r="X53">
            <v>106</v>
          </cell>
          <cell r="Y53">
            <v>205</v>
          </cell>
          <cell r="Z53">
            <v>3077910</v>
          </cell>
          <cell r="AA53">
            <v>112637910</v>
          </cell>
          <cell r="CL53">
            <v>1</v>
          </cell>
          <cell r="CX53">
            <v>1</v>
          </cell>
          <cell r="DC53">
            <v>1</v>
          </cell>
          <cell r="DQ53">
            <v>1</v>
          </cell>
          <cell r="EM53">
            <v>1</v>
          </cell>
          <cell r="EO53">
            <v>1</v>
          </cell>
          <cell r="ER53">
            <v>1</v>
          </cell>
          <cell r="FX53">
            <v>20000000</v>
          </cell>
          <cell r="GN53">
            <v>0</v>
          </cell>
        </row>
        <row r="54">
          <cell r="B54" t="str">
            <v>보안</v>
          </cell>
          <cell r="C54">
            <v>1</v>
          </cell>
          <cell r="D54">
            <v>37469</v>
          </cell>
          <cell r="E54">
            <v>1</v>
          </cell>
          <cell r="F54">
            <v>37469</v>
          </cell>
          <cell r="G54">
            <v>0</v>
          </cell>
          <cell r="H54">
            <v>0.5</v>
          </cell>
          <cell r="N54" t="str">
            <v>임태선</v>
          </cell>
          <cell r="O54" t="str">
            <v>470317-1567211</v>
          </cell>
          <cell r="AA54">
            <v>172937263</v>
          </cell>
          <cell r="CL54">
            <v>1</v>
          </cell>
          <cell r="CX54">
            <v>1</v>
          </cell>
          <cell r="FW54">
            <v>0</v>
          </cell>
          <cell r="GN54">
            <v>0</v>
          </cell>
        </row>
        <row r="55">
          <cell r="B55" t="str">
            <v>보안</v>
          </cell>
          <cell r="C55">
            <v>1</v>
          </cell>
          <cell r="D55">
            <v>37468</v>
          </cell>
          <cell r="G55">
            <v>1</v>
          </cell>
          <cell r="H55">
            <v>1</v>
          </cell>
          <cell r="I55">
            <v>1</v>
          </cell>
          <cell r="J55">
            <v>2</v>
          </cell>
          <cell r="K55">
            <v>2</v>
          </cell>
          <cell r="N55" t="str">
            <v>장의환</v>
          </cell>
          <cell r="O55">
            <v>5309151525015</v>
          </cell>
          <cell r="P55">
            <v>50</v>
          </cell>
          <cell r="R55" t="str">
            <v>서울시</v>
          </cell>
          <cell r="S55" t="str">
            <v>서울시</v>
          </cell>
          <cell r="T55" t="str">
            <v>강북구</v>
          </cell>
          <cell r="U55" t="str">
            <v>수유2동</v>
          </cell>
          <cell r="V55" t="str">
            <v>248-11</v>
          </cell>
          <cell r="Z55">
            <v>29958524</v>
          </cell>
          <cell r="AA55">
            <v>177558524</v>
          </cell>
          <cell r="AC55">
            <v>1</v>
          </cell>
          <cell r="BS55">
            <v>1</v>
          </cell>
          <cell r="BU55">
            <v>1</v>
          </cell>
          <cell r="BV55">
            <v>1</v>
          </cell>
          <cell r="CL55">
            <v>1</v>
          </cell>
          <cell r="CX55">
            <v>1</v>
          </cell>
          <cell r="FW55">
            <v>910000</v>
          </cell>
          <cell r="FZ55" t="str">
            <v>772-040196-02-101</v>
          </cell>
          <cell r="GK55">
            <v>27</v>
          </cell>
          <cell r="GN55">
            <v>27</v>
          </cell>
        </row>
        <row r="56">
          <cell r="B56" t="str">
            <v>보안</v>
          </cell>
          <cell r="C56">
            <v>1</v>
          </cell>
          <cell r="D56" t="str">
            <v>본사에 기록있음</v>
          </cell>
          <cell r="G56">
            <v>1</v>
          </cell>
          <cell r="N56" t="str">
            <v>조한태</v>
          </cell>
          <cell r="CL56">
            <v>1</v>
          </cell>
          <cell r="CU56">
            <v>1</v>
          </cell>
          <cell r="FW56">
            <v>0</v>
          </cell>
          <cell r="GK56">
            <v>27</v>
          </cell>
          <cell r="GL56">
            <v>157</v>
          </cell>
          <cell r="GN56">
            <v>184</v>
          </cell>
          <cell r="GS56">
            <v>174</v>
          </cell>
          <cell r="GT56">
            <v>110</v>
          </cell>
          <cell r="GU56">
            <v>36</v>
          </cell>
        </row>
        <row r="57">
          <cell r="B57" t="str">
            <v>보안</v>
          </cell>
          <cell r="C57">
            <v>1</v>
          </cell>
          <cell r="D57">
            <v>37490</v>
          </cell>
          <cell r="F57">
            <v>37492</v>
          </cell>
          <cell r="G57">
            <v>1</v>
          </cell>
          <cell r="I57">
            <v>1</v>
          </cell>
          <cell r="J57">
            <v>2</v>
          </cell>
          <cell r="K57">
            <v>2</v>
          </cell>
          <cell r="N57" t="str">
            <v>주광부</v>
          </cell>
          <cell r="O57" t="str">
            <v>740208-1167621</v>
          </cell>
          <cell r="P57">
            <v>27</v>
          </cell>
          <cell r="R57" t="str">
            <v>경기도</v>
          </cell>
          <cell r="S57" t="str">
            <v>성남시</v>
          </cell>
          <cell r="T57" t="str">
            <v>수정구</v>
          </cell>
          <cell r="U57" t="str">
            <v>수진1동</v>
          </cell>
          <cell r="V57" t="str">
            <v>474</v>
          </cell>
          <cell r="Z57">
            <v>317514469</v>
          </cell>
          <cell r="AD57">
            <v>1</v>
          </cell>
          <cell r="BQ57">
            <v>1</v>
          </cell>
          <cell r="BR57">
            <v>1</v>
          </cell>
          <cell r="CL57">
            <v>1</v>
          </cell>
          <cell r="CX57">
            <v>1</v>
          </cell>
          <cell r="FW57">
            <v>1000000</v>
          </cell>
          <cell r="GN57">
            <v>0</v>
          </cell>
        </row>
        <row r="58">
          <cell r="B58" t="str">
            <v>보안</v>
          </cell>
          <cell r="C58">
            <v>1</v>
          </cell>
          <cell r="D58">
            <v>37474</v>
          </cell>
          <cell r="G58">
            <v>1</v>
          </cell>
          <cell r="H58">
            <v>1</v>
          </cell>
          <cell r="I58">
            <v>1</v>
          </cell>
          <cell r="J58">
            <v>2</v>
          </cell>
          <cell r="K58">
            <v>2</v>
          </cell>
          <cell r="N58" t="str">
            <v>최오화</v>
          </cell>
          <cell r="O58">
            <v>4506241636424</v>
          </cell>
          <cell r="P58">
            <v>57</v>
          </cell>
          <cell r="R58" t="str">
            <v>경기도</v>
          </cell>
          <cell r="S58" t="str">
            <v>성남시</v>
          </cell>
          <cell r="T58" t="str">
            <v>수정구</v>
          </cell>
          <cell r="U58" t="str">
            <v>태평1동</v>
          </cell>
          <cell r="V58" t="str">
            <v>5956번지</v>
          </cell>
          <cell r="Z58">
            <v>7583237</v>
          </cell>
          <cell r="AA58">
            <v>183184406</v>
          </cell>
          <cell r="AC58">
            <v>1</v>
          </cell>
          <cell r="BS58">
            <v>1</v>
          </cell>
          <cell r="BU58">
            <v>1</v>
          </cell>
          <cell r="CL58">
            <v>1</v>
          </cell>
          <cell r="CW58">
            <v>1</v>
          </cell>
          <cell r="FW58">
            <v>960000</v>
          </cell>
          <cell r="FZ58" t="str">
            <v>302-161957-12-001</v>
          </cell>
          <cell r="GK58">
            <v>27</v>
          </cell>
          <cell r="GN58">
            <v>27</v>
          </cell>
        </row>
        <row r="59">
          <cell r="B59" t="str">
            <v>보안</v>
          </cell>
          <cell r="C59">
            <v>1</v>
          </cell>
          <cell r="D59">
            <v>37487</v>
          </cell>
          <cell r="G59">
            <v>1</v>
          </cell>
          <cell r="H59">
            <v>1</v>
          </cell>
          <cell r="I59">
            <v>1</v>
          </cell>
          <cell r="J59">
            <v>2</v>
          </cell>
          <cell r="K59">
            <v>2</v>
          </cell>
          <cell r="M59">
            <v>1</v>
          </cell>
          <cell r="N59" t="str">
            <v>송대성</v>
          </cell>
          <cell r="O59" t="str">
            <v>761220-1051911</v>
          </cell>
          <cell r="R59" t="str">
            <v>경기도</v>
          </cell>
          <cell r="S59" t="str">
            <v>용인시</v>
          </cell>
          <cell r="T59" t="str">
            <v>수지읍</v>
          </cell>
          <cell r="U59" t="str">
            <v>동천리</v>
          </cell>
          <cell r="V59" t="str">
            <v>176-1</v>
          </cell>
          <cell r="W59" t="str">
            <v>풍림</v>
          </cell>
          <cell r="X59">
            <v>201</v>
          </cell>
          <cell r="Y59">
            <v>606</v>
          </cell>
          <cell r="AA59">
            <v>166615341</v>
          </cell>
          <cell r="CL59">
            <v>1</v>
          </cell>
          <cell r="CX59">
            <v>1</v>
          </cell>
          <cell r="FW59">
            <v>1200000</v>
          </cell>
          <cell r="FZ59" t="str">
            <v>772-041613-02-101</v>
          </cell>
          <cell r="GN59">
            <v>0</v>
          </cell>
        </row>
        <row r="60">
          <cell r="B60" t="str">
            <v>보안</v>
          </cell>
          <cell r="C60">
            <v>1</v>
          </cell>
          <cell r="D60">
            <v>37487</v>
          </cell>
          <cell r="F60">
            <v>37498</v>
          </cell>
          <cell r="G60">
            <v>1</v>
          </cell>
          <cell r="I60">
            <v>0.5</v>
          </cell>
          <cell r="N60" t="str">
            <v>조창래</v>
          </cell>
          <cell r="O60" t="str">
            <v>750523-1249919</v>
          </cell>
          <cell r="R60" t="str">
            <v>경기도</v>
          </cell>
          <cell r="S60" t="str">
            <v>용인시</v>
          </cell>
          <cell r="T60" t="str">
            <v>원삼</v>
          </cell>
          <cell r="U60" t="str">
            <v>두창3</v>
          </cell>
          <cell r="V60" t="str">
            <v>893</v>
          </cell>
          <cell r="CL60">
            <v>1</v>
          </cell>
          <cell r="CX60">
            <v>1</v>
          </cell>
          <cell r="FW60">
            <v>1200000</v>
          </cell>
          <cell r="FZ60" t="str">
            <v>국민 218-21-0790-718</v>
          </cell>
          <cell r="GN60">
            <v>0</v>
          </cell>
        </row>
        <row r="61">
          <cell r="B61" t="str">
            <v>보안</v>
          </cell>
          <cell r="C61">
            <v>1</v>
          </cell>
          <cell r="D61">
            <v>37494</v>
          </cell>
          <cell r="G61">
            <v>1</v>
          </cell>
          <cell r="H61">
            <v>1</v>
          </cell>
          <cell r="I61">
            <v>1</v>
          </cell>
          <cell r="J61">
            <v>2</v>
          </cell>
          <cell r="K61">
            <v>2</v>
          </cell>
          <cell r="M61">
            <v>1</v>
          </cell>
          <cell r="N61" t="str">
            <v>유형창</v>
          </cell>
          <cell r="O61" t="str">
            <v>770116-1167715</v>
          </cell>
          <cell r="P61">
            <v>26</v>
          </cell>
          <cell r="R61" t="str">
            <v>경기도</v>
          </cell>
          <cell r="S61" t="str">
            <v>성남시</v>
          </cell>
          <cell r="T61" t="str">
            <v>수정구</v>
          </cell>
          <cell r="U61" t="str">
            <v>태평3동</v>
          </cell>
          <cell r="V61" t="str">
            <v>4764</v>
          </cell>
          <cell r="AA61">
            <v>1694444586</v>
          </cell>
          <cell r="AD61">
            <v>1</v>
          </cell>
          <cell r="BR61">
            <v>1</v>
          </cell>
          <cell r="CA61">
            <v>1</v>
          </cell>
          <cell r="CL61">
            <v>1</v>
          </cell>
          <cell r="CX61">
            <v>1</v>
          </cell>
          <cell r="FW61">
            <v>1200000</v>
          </cell>
          <cell r="FZ61" t="str">
            <v>772-042083-02-101</v>
          </cell>
          <cell r="GK61">
            <v>10</v>
          </cell>
          <cell r="GN61">
            <v>10</v>
          </cell>
        </row>
        <row r="62">
          <cell r="B62" t="str">
            <v>안내</v>
          </cell>
          <cell r="C62">
            <v>1</v>
          </cell>
          <cell r="D62">
            <v>37481</v>
          </cell>
          <cell r="E62">
            <v>1</v>
          </cell>
          <cell r="F62">
            <v>37484</v>
          </cell>
          <cell r="G62">
            <v>0</v>
          </cell>
          <cell r="I62">
            <v>1</v>
          </cell>
          <cell r="N62" t="str">
            <v>강명희</v>
          </cell>
          <cell r="O62">
            <v>7302182636724</v>
          </cell>
          <cell r="CM62">
            <v>1</v>
          </cell>
          <cell r="CX62">
            <v>1</v>
          </cell>
          <cell r="FW62">
            <v>800000</v>
          </cell>
          <cell r="GK62">
            <v>15</v>
          </cell>
          <cell r="GN62">
            <v>15</v>
          </cell>
        </row>
        <row r="63">
          <cell r="B63" t="str">
            <v>안내</v>
          </cell>
          <cell r="C63">
            <v>1</v>
          </cell>
          <cell r="D63">
            <v>37468</v>
          </cell>
          <cell r="E63">
            <v>1</v>
          </cell>
          <cell r="F63">
            <v>37476</v>
          </cell>
          <cell r="G63">
            <v>0</v>
          </cell>
          <cell r="N63" t="str">
            <v>동방미선</v>
          </cell>
          <cell r="O63" t="str">
            <v>610227-2168311</v>
          </cell>
          <cell r="R63" t="str">
            <v>경기도</v>
          </cell>
          <cell r="S63" t="str">
            <v>성남시</v>
          </cell>
          <cell r="T63" t="str">
            <v>중원구</v>
          </cell>
          <cell r="U63" t="str">
            <v>상대원2동</v>
          </cell>
          <cell r="V63" t="str">
            <v>5180</v>
          </cell>
          <cell r="Z63">
            <v>317365059</v>
          </cell>
          <cell r="CM63">
            <v>1</v>
          </cell>
          <cell r="CX63">
            <v>1</v>
          </cell>
          <cell r="FW63">
            <v>800000</v>
          </cell>
          <cell r="GK63">
            <v>26</v>
          </cell>
          <cell r="GN63">
            <v>26</v>
          </cell>
          <cell r="GS63">
            <v>158</v>
          </cell>
          <cell r="GT63">
            <v>66</v>
          </cell>
        </row>
        <row r="64">
          <cell r="B64" t="str">
            <v>안내</v>
          </cell>
          <cell r="C64">
            <v>1</v>
          </cell>
          <cell r="D64">
            <v>37469</v>
          </cell>
          <cell r="E64">
            <v>1</v>
          </cell>
          <cell r="F64">
            <v>37499</v>
          </cell>
          <cell r="G64">
            <v>0</v>
          </cell>
          <cell r="H64">
            <v>1</v>
          </cell>
          <cell r="N64" t="str">
            <v>신순옥</v>
          </cell>
          <cell r="O64" t="str">
            <v>570106-2540514</v>
          </cell>
          <cell r="R64" t="str">
            <v>경기도</v>
          </cell>
          <cell r="S64" t="str">
            <v>성남시</v>
          </cell>
          <cell r="T64" t="str">
            <v>분당구</v>
          </cell>
          <cell r="U64" t="str">
            <v>야탑동</v>
          </cell>
          <cell r="V64" t="str">
            <v>215</v>
          </cell>
          <cell r="W64" t="str">
            <v>공무원@</v>
          </cell>
          <cell r="X64">
            <v>216</v>
          </cell>
          <cell r="Y64">
            <v>603</v>
          </cell>
          <cell r="Z64">
            <v>317068268</v>
          </cell>
          <cell r="AA64">
            <v>1190504567</v>
          </cell>
          <cell r="CM64">
            <v>1</v>
          </cell>
          <cell r="CX64">
            <v>1</v>
          </cell>
          <cell r="FW64">
            <v>800000</v>
          </cell>
          <cell r="FZ64" t="str">
            <v>433-07-040606</v>
          </cell>
          <cell r="GK64">
            <v>26</v>
          </cell>
          <cell r="GN64">
            <v>26</v>
          </cell>
          <cell r="GS64">
            <v>155</v>
          </cell>
          <cell r="GT64">
            <v>55</v>
          </cell>
        </row>
        <row r="65">
          <cell r="B65" t="str">
            <v>안내</v>
          </cell>
          <cell r="C65">
            <v>1</v>
          </cell>
          <cell r="D65">
            <v>37504</v>
          </cell>
          <cell r="G65">
            <v>1</v>
          </cell>
          <cell r="J65">
            <v>1</v>
          </cell>
          <cell r="N65" t="str">
            <v>이순점</v>
          </cell>
          <cell r="O65" t="str">
            <v>650525-2775114</v>
          </cell>
          <cell r="R65" t="str">
            <v>경기도</v>
          </cell>
          <cell r="S65" t="str">
            <v>성남시</v>
          </cell>
          <cell r="T65" t="str">
            <v>분당구</v>
          </cell>
          <cell r="U65" t="str">
            <v>야탑동</v>
          </cell>
          <cell r="V65" t="str">
            <v>215</v>
          </cell>
          <cell r="W65" t="str">
            <v>매화마을</v>
          </cell>
          <cell r="X65">
            <v>216</v>
          </cell>
          <cell r="Y65">
            <v>902</v>
          </cell>
          <cell r="AC65">
            <v>1</v>
          </cell>
          <cell r="BR65">
            <v>1</v>
          </cell>
          <cell r="BT65">
            <v>1</v>
          </cell>
          <cell r="BU65">
            <v>1</v>
          </cell>
          <cell r="BV65">
            <v>1</v>
          </cell>
          <cell r="CM65">
            <v>1</v>
          </cell>
          <cell r="CX65">
            <v>1</v>
          </cell>
          <cell r="FW65">
            <v>800000</v>
          </cell>
        </row>
        <row r="66">
          <cell r="B66" t="str">
            <v>안내</v>
          </cell>
          <cell r="C66">
            <v>1</v>
          </cell>
          <cell r="D66">
            <v>37481</v>
          </cell>
          <cell r="G66">
            <v>1</v>
          </cell>
          <cell r="H66">
            <v>1</v>
          </cell>
          <cell r="I66">
            <v>0.5</v>
          </cell>
          <cell r="J66">
            <v>2</v>
          </cell>
          <cell r="K66">
            <v>2</v>
          </cell>
          <cell r="M66">
            <v>1</v>
          </cell>
          <cell r="N66" t="str">
            <v>이연화</v>
          </cell>
          <cell r="O66">
            <v>6505012464536</v>
          </cell>
          <cell r="P66">
            <v>37</v>
          </cell>
          <cell r="R66" t="str">
            <v>경기도</v>
          </cell>
          <cell r="S66" t="str">
            <v>성남시</v>
          </cell>
          <cell r="T66" t="str">
            <v>중원구</v>
          </cell>
          <cell r="U66" t="str">
            <v>성남동</v>
          </cell>
          <cell r="W66" t="str">
            <v>올림픽</v>
          </cell>
          <cell r="X66">
            <v>6</v>
          </cell>
          <cell r="Y66">
            <v>302</v>
          </cell>
          <cell r="Z66">
            <v>317216459</v>
          </cell>
          <cell r="AC66">
            <v>1</v>
          </cell>
          <cell r="BT66">
            <v>1</v>
          </cell>
          <cell r="BU66">
            <v>1</v>
          </cell>
          <cell r="CM66">
            <v>1</v>
          </cell>
          <cell r="CX66">
            <v>1</v>
          </cell>
          <cell r="FW66">
            <v>800000</v>
          </cell>
          <cell r="GK66">
            <v>15</v>
          </cell>
          <cell r="GN66">
            <v>15</v>
          </cell>
          <cell r="GS66">
            <v>152</v>
          </cell>
          <cell r="GT66">
            <v>95</v>
          </cell>
          <cell r="GU66">
            <v>28</v>
          </cell>
        </row>
        <row r="67">
          <cell r="B67" t="str">
            <v>안내</v>
          </cell>
          <cell r="C67">
            <v>1</v>
          </cell>
          <cell r="D67">
            <v>37468</v>
          </cell>
          <cell r="E67">
            <v>1</v>
          </cell>
          <cell r="F67">
            <v>37476</v>
          </cell>
          <cell r="G67">
            <v>0</v>
          </cell>
          <cell r="N67" t="str">
            <v>임병순</v>
          </cell>
          <cell r="O67" t="str">
            <v>620305-2168729</v>
          </cell>
          <cell r="R67" t="str">
            <v>경기도</v>
          </cell>
          <cell r="S67" t="str">
            <v>성남시</v>
          </cell>
          <cell r="T67" t="str">
            <v>중원구</v>
          </cell>
          <cell r="U67" t="str">
            <v>상대원1동</v>
          </cell>
          <cell r="W67" t="str">
            <v>선경</v>
          </cell>
          <cell r="X67">
            <v>119</v>
          </cell>
          <cell r="Y67">
            <v>701</v>
          </cell>
          <cell r="Z67">
            <v>317317583</v>
          </cell>
          <cell r="AA67">
            <v>183417583</v>
          </cell>
          <cell r="CM67">
            <v>1</v>
          </cell>
          <cell r="CX67">
            <v>1</v>
          </cell>
          <cell r="FW67">
            <v>800000</v>
          </cell>
          <cell r="GK67">
            <v>26</v>
          </cell>
          <cell r="GN67">
            <v>15</v>
          </cell>
          <cell r="GS67">
            <v>160</v>
          </cell>
          <cell r="GT67">
            <v>66</v>
          </cell>
        </row>
        <row r="68">
          <cell r="B68" t="str">
            <v>미화</v>
          </cell>
          <cell r="C68">
            <v>1</v>
          </cell>
          <cell r="D68">
            <v>37469</v>
          </cell>
          <cell r="G68">
            <v>1</v>
          </cell>
          <cell r="J68">
            <v>2</v>
          </cell>
          <cell r="K68">
            <v>2</v>
          </cell>
          <cell r="M68">
            <v>1</v>
          </cell>
          <cell r="N68" t="str">
            <v>강성례</v>
          </cell>
          <cell r="O68">
            <v>4209252658912</v>
          </cell>
          <cell r="R68" t="str">
            <v>경기도</v>
          </cell>
          <cell r="S68" t="str">
            <v>성남시</v>
          </cell>
          <cell r="T68" t="str">
            <v>분당구</v>
          </cell>
          <cell r="U68" t="str">
            <v>야탑동</v>
          </cell>
          <cell r="V68" t="str">
            <v>330</v>
          </cell>
          <cell r="W68" t="str">
            <v>장미마을</v>
          </cell>
          <cell r="X68">
            <v>132</v>
          </cell>
          <cell r="Y68">
            <v>105</v>
          </cell>
          <cell r="CO68">
            <v>1</v>
          </cell>
          <cell r="CW68">
            <v>1</v>
          </cell>
          <cell r="FW68">
            <v>870000</v>
          </cell>
          <cell r="FZ68" t="str">
            <v>339-08-084525</v>
          </cell>
          <cell r="GN68">
            <v>0</v>
          </cell>
        </row>
        <row r="69">
          <cell r="B69" t="str">
            <v>미화</v>
          </cell>
          <cell r="C69">
            <v>1</v>
          </cell>
          <cell r="D69">
            <v>37469</v>
          </cell>
          <cell r="G69">
            <v>1</v>
          </cell>
          <cell r="H69">
            <v>1</v>
          </cell>
          <cell r="N69" t="str">
            <v>고길자</v>
          </cell>
          <cell r="O69">
            <v>4402102804611</v>
          </cell>
          <cell r="CN69">
            <v>1</v>
          </cell>
          <cell r="CX69">
            <v>1</v>
          </cell>
          <cell r="FW69">
            <v>30000</v>
          </cell>
          <cell r="GK69">
            <v>27</v>
          </cell>
          <cell r="GN69">
            <v>27</v>
          </cell>
        </row>
        <row r="70">
          <cell r="B70" t="str">
            <v>미화</v>
          </cell>
          <cell r="C70">
            <v>1</v>
          </cell>
          <cell r="D70">
            <v>37469</v>
          </cell>
          <cell r="G70">
            <v>1</v>
          </cell>
          <cell r="H70">
            <v>1</v>
          </cell>
          <cell r="I70">
            <v>1</v>
          </cell>
          <cell r="J70">
            <v>2</v>
          </cell>
          <cell r="K70">
            <v>2</v>
          </cell>
          <cell r="M70">
            <v>1</v>
          </cell>
          <cell r="N70" t="str">
            <v>김귀례</v>
          </cell>
          <cell r="O70">
            <v>4203152644310</v>
          </cell>
          <cell r="R70" t="str">
            <v>경기도</v>
          </cell>
          <cell r="S70" t="str">
            <v>성남시</v>
          </cell>
          <cell r="T70" t="str">
            <v>중원구</v>
          </cell>
          <cell r="U70" t="str">
            <v>은행동</v>
          </cell>
          <cell r="V70" t="str">
            <v>1592-4</v>
          </cell>
          <cell r="Z70">
            <v>317323094</v>
          </cell>
          <cell r="CN70">
            <v>1</v>
          </cell>
          <cell r="CX70">
            <v>1</v>
          </cell>
          <cell r="FW70">
            <v>780000</v>
          </cell>
          <cell r="FZ70" t="str">
            <v>368-08-147727</v>
          </cell>
          <cell r="GK70">
            <v>27</v>
          </cell>
          <cell r="GL70">
            <v>15</v>
          </cell>
          <cell r="GN70">
            <v>42</v>
          </cell>
        </row>
        <row r="71">
          <cell r="B71" t="str">
            <v>미화</v>
          </cell>
          <cell r="C71">
            <v>1</v>
          </cell>
          <cell r="D71">
            <v>37469</v>
          </cell>
          <cell r="E71">
            <v>1</v>
          </cell>
          <cell r="F71">
            <v>37471</v>
          </cell>
          <cell r="G71">
            <v>0</v>
          </cell>
          <cell r="N71" t="str">
            <v>김대성</v>
          </cell>
          <cell r="CN71">
            <v>1</v>
          </cell>
          <cell r="CX71">
            <v>1</v>
          </cell>
          <cell r="FW71">
            <v>800000</v>
          </cell>
          <cell r="GK71">
            <v>3</v>
          </cell>
          <cell r="GN71">
            <v>3</v>
          </cell>
        </row>
        <row r="72">
          <cell r="B72" t="str">
            <v>미화</v>
          </cell>
          <cell r="C72">
            <v>1</v>
          </cell>
          <cell r="D72">
            <v>37469</v>
          </cell>
          <cell r="G72">
            <v>1</v>
          </cell>
          <cell r="H72">
            <v>1</v>
          </cell>
          <cell r="I72">
            <v>1</v>
          </cell>
          <cell r="J72">
            <v>2</v>
          </cell>
          <cell r="K72">
            <v>2</v>
          </cell>
          <cell r="M72">
            <v>1</v>
          </cell>
          <cell r="N72" t="str">
            <v>김병길</v>
          </cell>
          <cell r="O72">
            <v>3912231455117</v>
          </cell>
          <cell r="P72">
            <v>63</v>
          </cell>
          <cell r="R72" t="str">
            <v>서울시</v>
          </cell>
          <cell r="S72" t="str">
            <v>서울시</v>
          </cell>
          <cell r="T72" t="str">
            <v>동작구</v>
          </cell>
          <cell r="U72" t="str">
            <v>본동</v>
          </cell>
          <cell r="V72" t="str">
            <v>42-14</v>
          </cell>
          <cell r="Z72">
            <v>28140112</v>
          </cell>
          <cell r="AC72">
            <v>1</v>
          </cell>
          <cell r="BS72">
            <v>1</v>
          </cell>
          <cell r="BU72">
            <v>1</v>
          </cell>
          <cell r="CO72">
            <v>1</v>
          </cell>
          <cell r="CX72">
            <v>1</v>
          </cell>
          <cell r="FW72">
            <v>860000</v>
          </cell>
          <cell r="FZ72" t="str">
            <v>093-056367-02-301</v>
          </cell>
          <cell r="GN72">
            <v>0</v>
          </cell>
        </row>
        <row r="73">
          <cell r="B73" t="str">
            <v>미화</v>
          </cell>
          <cell r="C73">
            <v>1</v>
          </cell>
          <cell r="D73">
            <v>37470</v>
          </cell>
          <cell r="G73">
            <v>1</v>
          </cell>
          <cell r="H73">
            <v>1</v>
          </cell>
          <cell r="I73">
            <v>1</v>
          </cell>
          <cell r="J73">
            <v>2</v>
          </cell>
          <cell r="K73">
            <v>2</v>
          </cell>
          <cell r="M73">
            <v>1</v>
          </cell>
          <cell r="N73" t="str">
            <v>김성례</v>
          </cell>
          <cell r="O73" t="str">
            <v>440715-2167711</v>
          </cell>
          <cell r="P73">
            <v>58</v>
          </cell>
          <cell r="R73" t="str">
            <v>경기도</v>
          </cell>
          <cell r="S73" t="str">
            <v>성남시</v>
          </cell>
          <cell r="T73" t="str">
            <v>수정구</v>
          </cell>
          <cell r="U73" t="str">
            <v>태평2동</v>
          </cell>
          <cell r="V73" t="str">
            <v>2792</v>
          </cell>
          <cell r="Z73">
            <v>317557057</v>
          </cell>
          <cell r="AC73">
            <v>1</v>
          </cell>
          <cell r="BT73">
            <v>1</v>
          </cell>
          <cell r="BU73">
            <v>1</v>
          </cell>
          <cell r="CN73">
            <v>1</v>
          </cell>
          <cell r="CX73">
            <v>1</v>
          </cell>
          <cell r="FW73">
            <v>730000</v>
          </cell>
          <cell r="FZ73" t="str">
            <v>772-038327-02-101</v>
          </cell>
          <cell r="GK73">
            <v>27</v>
          </cell>
          <cell r="GN73">
            <v>27</v>
          </cell>
        </row>
        <row r="74">
          <cell r="B74" t="str">
            <v>미화</v>
          </cell>
          <cell r="C74">
            <v>1</v>
          </cell>
          <cell r="D74">
            <v>37494</v>
          </cell>
          <cell r="G74">
            <v>1</v>
          </cell>
          <cell r="H74">
            <v>1</v>
          </cell>
          <cell r="I74">
            <v>0.5</v>
          </cell>
          <cell r="J74">
            <v>2</v>
          </cell>
          <cell r="K74">
            <v>2</v>
          </cell>
          <cell r="M74">
            <v>1</v>
          </cell>
          <cell r="N74" t="str">
            <v>김수복</v>
          </cell>
          <cell r="O74" t="str">
            <v>47104-1652314</v>
          </cell>
          <cell r="P74">
            <v>55</v>
          </cell>
          <cell r="R74" t="str">
            <v>경기도</v>
          </cell>
          <cell r="S74" t="str">
            <v>성남시</v>
          </cell>
          <cell r="T74" t="str">
            <v>중원구</v>
          </cell>
          <cell r="U74" t="str">
            <v>성남동</v>
          </cell>
          <cell r="V74" t="str">
            <v>2927</v>
          </cell>
          <cell r="Z74">
            <v>317587846</v>
          </cell>
          <cell r="AA74">
            <v>117423571</v>
          </cell>
          <cell r="AC74">
            <v>1</v>
          </cell>
          <cell r="BS74">
            <v>1</v>
          </cell>
          <cell r="BU74">
            <v>1</v>
          </cell>
          <cell r="BV74">
            <v>1</v>
          </cell>
          <cell r="BW74">
            <v>1</v>
          </cell>
          <cell r="CN74">
            <v>1</v>
          </cell>
          <cell r="CX74">
            <v>1</v>
          </cell>
          <cell r="FW74">
            <v>800000</v>
          </cell>
          <cell r="GK74">
            <v>6</v>
          </cell>
          <cell r="GN74">
            <v>6</v>
          </cell>
        </row>
        <row r="75">
          <cell r="B75" t="str">
            <v>미화</v>
          </cell>
          <cell r="C75">
            <v>1</v>
          </cell>
          <cell r="D75">
            <v>37469</v>
          </cell>
          <cell r="G75">
            <v>1</v>
          </cell>
          <cell r="H75">
            <v>1</v>
          </cell>
          <cell r="I75">
            <v>1</v>
          </cell>
          <cell r="J75">
            <v>2</v>
          </cell>
          <cell r="K75">
            <v>2</v>
          </cell>
          <cell r="M75">
            <v>1</v>
          </cell>
          <cell r="N75" t="str">
            <v>김순자(a)</v>
          </cell>
          <cell r="O75">
            <v>4108302168018</v>
          </cell>
          <cell r="R75" t="str">
            <v>경기도</v>
          </cell>
          <cell r="S75" t="str">
            <v>성남시</v>
          </cell>
          <cell r="T75" t="str">
            <v>중원구</v>
          </cell>
          <cell r="U75" t="str">
            <v>중동</v>
          </cell>
          <cell r="V75" t="str">
            <v>3747-2번지</v>
          </cell>
          <cell r="CN75">
            <v>1</v>
          </cell>
          <cell r="CX75">
            <v>1</v>
          </cell>
          <cell r="FW75">
            <v>750000</v>
          </cell>
          <cell r="FZ75" t="str">
            <v>339-07-031279</v>
          </cell>
          <cell r="GK75">
            <v>27</v>
          </cell>
          <cell r="GN75">
            <v>27</v>
          </cell>
        </row>
        <row r="76">
          <cell r="B76" t="str">
            <v>미화</v>
          </cell>
          <cell r="C76">
            <v>1</v>
          </cell>
          <cell r="D76">
            <v>37502</v>
          </cell>
          <cell r="G76">
            <v>1</v>
          </cell>
          <cell r="H76">
            <v>1</v>
          </cell>
          <cell r="I76">
            <v>1</v>
          </cell>
          <cell r="J76">
            <v>2</v>
          </cell>
          <cell r="K76">
            <v>2</v>
          </cell>
          <cell r="M76">
            <v>1</v>
          </cell>
          <cell r="N76" t="str">
            <v>김정분</v>
          </cell>
          <cell r="O76" t="str">
            <v>450307-2167612</v>
          </cell>
          <cell r="P76">
            <v>58</v>
          </cell>
          <cell r="R76" t="str">
            <v>경기도</v>
          </cell>
          <cell r="S76" t="str">
            <v>성남시</v>
          </cell>
          <cell r="T76" t="str">
            <v>수정구</v>
          </cell>
          <cell r="U76" t="str">
            <v>태평2동</v>
          </cell>
          <cell r="V76" t="str">
            <v>769</v>
          </cell>
          <cell r="Z76">
            <v>317533757</v>
          </cell>
          <cell r="AC76">
            <v>1</v>
          </cell>
          <cell r="BT76">
            <v>1</v>
          </cell>
          <cell r="BU76">
            <v>1</v>
          </cell>
          <cell r="BV76">
            <v>1</v>
          </cell>
          <cell r="CN76">
            <v>1</v>
          </cell>
          <cell r="CX76">
            <v>1</v>
          </cell>
          <cell r="FW76">
            <v>710000</v>
          </cell>
          <cell r="FZ76" t="str">
            <v>398-08-012874</v>
          </cell>
        </row>
        <row r="77">
          <cell r="B77" t="str">
            <v>미화</v>
          </cell>
          <cell r="C77">
            <v>1</v>
          </cell>
          <cell r="D77">
            <v>37469</v>
          </cell>
          <cell r="G77">
            <v>1</v>
          </cell>
          <cell r="H77">
            <v>1</v>
          </cell>
          <cell r="I77">
            <v>0.5</v>
          </cell>
          <cell r="J77">
            <v>2</v>
          </cell>
          <cell r="K77">
            <v>2</v>
          </cell>
          <cell r="M77">
            <v>1</v>
          </cell>
          <cell r="N77" t="str">
            <v>김옥봉</v>
          </cell>
          <cell r="O77">
            <v>4212032330914</v>
          </cell>
          <cell r="R77" t="str">
            <v>경기도</v>
          </cell>
          <cell r="S77" t="str">
            <v>성남시</v>
          </cell>
          <cell r="T77" t="str">
            <v>수정구</v>
          </cell>
          <cell r="U77" t="str">
            <v>수진동</v>
          </cell>
          <cell r="V77" t="str">
            <v>885</v>
          </cell>
          <cell r="AE77">
            <v>1</v>
          </cell>
          <cell r="BU77">
            <v>1</v>
          </cell>
          <cell r="BV77">
            <v>1</v>
          </cell>
          <cell r="BW77">
            <v>1</v>
          </cell>
          <cell r="CN77">
            <v>1</v>
          </cell>
          <cell r="CX77">
            <v>1</v>
          </cell>
          <cell r="FW77">
            <v>710000</v>
          </cell>
          <cell r="FZ77" t="str">
            <v>315-21-0190-817</v>
          </cell>
          <cell r="GK77">
            <v>27</v>
          </cell>
          <cell r="GL77">
            <v>12</v>
          </cell>
          <cell r="GN77">
            <v>39</v>
          </cell>
        </row>
        <row r="78">
          <cell r="B78" t="str">
            <v>미화</v>
          </cell>
          <cell r="C78">
            <v>1</v>
          </cell>
          <cell r="D78">
            <v>37469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M78">
            <v>1</v>
          </cell>
          <cell r="N78" t="str">
            <v>김정희</v>
          </cell>
          <cell r="O78">
            <v>4606252332813</v>
          </cell>
          <cell r="P78">
            <v>56</v>
          </cell>
          <cell r="R78" t="str">
            <v>경기도</v>
          </cell>
          <cell r="S78" t="str">
            <v>성남시</v>
          </cell>
          <cell r="T78" t="str">
            <v>수정구</v>
          </cell>
          <cell r="U78" t="str">
            <v>태평2동</v>
          </cell>
          <cell r="V78" t="str">
            <v>2961</v>
          </cell>
          <cell r="Z78">
            <v>317557691</v>
          </cell>
          <cell r="AA78">
            <v>163267825</v>
          </cell>
          <cell r="AC78">
            <v>1</v>
          </cell>
          <cell r="BT78">
            <v>1</v>
          </cell>
          <cell r="BU78">
            <v>1</v>
          </cell>
          <cell r="BV78">
            <v>1</v>
          </cell>
          <cell r="CN78">
            <v>1</v>
          </cell>
          <cell r="CX78">
            <v>1</v>
          </cell>
          <cell r="FW78">
            <v>750000</v>
          </cell>
          <cell r="GK78">
            <v>27</v>
          </cell>
          <cell r="GL78">
            <v>12</v>
          </cell>
          <cell r="GN78">
            <v>39</v>
          </cell>
        </row>
        <row r="79">
          <cell r="B79" t="str">
            <v>미화</v>
          </cell>
          <cell r="C79">
            <v>1</v>
          </cell>
          <cell r="D79">
            <v>37469</v>
          </cell>
          <cell r="G79">
            <v>1</v>
          </cell>
          <cell r="H79">
            <v>1</v>
          </cell>
          <cell r="I79">
            <v>1</v>
          </cell>
          <cell r="J79">
            <v>2</v>
          </cell>
          <cell r="K79">
            <v>2</v>
          </cell>
          <cell r="N79" t="str">
            <v>김종안</v>
          </cell>
          <cell r="O79">
            <v>4511151079912</v>
          </cell>
          <cell r="P79">
            <v>56</v>
          </cell>
          <cell r="R79" t="str">
            <v>경기도</v>
          </cell>
          <cell r="S79" t="str">
            <v>하남시</v>
          </cell>
          <cell r="U79" t="str">
            <v>덕풍3동</v>
          </cell>
          <cell r="V79" t="str">
            <v>310-44</v>
          </cell>
          <cell r="Z79">
            <v>317921325</v>
          </cell>
          <cell r="AA79">
            <v>1197586320</v>
          </cell>
          <cell r="AC79">
            <v>1</v>
          </cell>
          <cell r="AG79">
            <v>1</v>
          </cell>
          <cell r="AH79">
            <v>1</v>
          </cell>
          <cell r="AQ79">
            <v>1</v>
          </cell>
          <cell r="AV79">
            <v>1</v>
          </cell>
          <cell r="AW79">
            <v>1</v>
          </cell>
          <cell r="AX79">
            <v>1</v>
          </cell>
          <cell r="BC79">
            <v>1</v>
          </cell>
          <cell r="BT79">
            <v>1</v>
          </cell>
          <cell r="BU79">
            <v>1</v>
          </cell>
          <cell r="CN79">
            <v>1</v>
          </cell>
          <cell r="CV79">
            <v>1</v>
          </cell>
          <cell r="ES79">
            <v>13</v>
          </cell>
          <cell r="EU79" t="str">
            <v>총괄관리</v>
          </cell>
          <cell r="FW79">
            <v>1200000</v>
          </cell>
          <cell r="FZ79" t="str">
            <v>339-07-048420</v>
          </cell>
          <cell r="GK79">
            <v>29</v>
          </cell>
          <cell r="GN79">
            <v>29</v>
          </cell>
          <cell r="GT79">
            <v>105</v>
          </cell>
          <cell r="GU79">
            <v>3234</v>
          </cell>
          <cell r="GV79">
            <v>1</v>
          </cell>
        </row>
        <row r="80">
          <cell r="B80" t="str">
            <v>미화</v>
          </cell>
          <cell r="C80">
            <v>1</v>
          </cell>
          <cell r="D80">
            <v>37469</v>
          </cell>
          <cell r="G80">
            <v>1</v>
          </cell>
          <cell r="H80">
            <v>1</v>
          </cell>
          <cell r="I80">
            <v>1</v>
          </cell>
          <cell r="J80">
            <v>2</v>
          </cell>
          <cell r="K80">
            <v>2</v>
          </cell>
          <cell r="M80">
            <v>1</v>
          </cell>
          <cell r="N80" t="str">
            <v>김형동</v>
          </cell>
          <cell r="O80">
            <v>4009011534113</v>
          </cell>
          <cell r="P80">
            <v>61</v>
          </cell>
          <cell r="R80" t="str">
            <v>경기도</v>
          </cell>
          <cell r="S80" t="str">
            <v>성남시</v>
          </cell>
          <cell r="T80" t="str">
            <v>수정구</v>
          </cell>
          <cell r="U80" t="str">
            <v>산성동</v>
          </cell>
          <cell r="V80" t="str">
            <v>1052</v>
          </cell>
          <cell r="Z80">
            <v>317463929</v>
          </cell>
          <cell r="AC80">
            <v>1</v>
          </cell>
          <cell r="BS80">
            <v>1</v>
          </cell>
          <cell r="CN80">
            <v>1</v>
          </cell>
          <cell r="CX80">
            <v>1</v>
          </cell>
          <cell r="FW80">
            <v>810000</v>
          </cell>
          <cell r="FZ80" t="str">
            <v>079-562883-02-101</v>
          </cell>
          <cell r="GK80">
            <v>27</v>
          </cell>
          <cell r="GN80">
            <v>27</v>
          </cell>
        </row>
        <row r="81">
          <cell r="B81" t="str">
            <v>미화</v>
          </cell>
          <cell r="C81">
            <v>1</v>
          </cell>
          <cell r="D81">
            <v>37469</v>
          </cell>
          <cell r="G81">
            <v>1</v>
          </cell>
          <cell r="H81" t="str">
            <v>알바</v>
          </cell>
          <cell r="K81">
            <v>2</v>
          </cell>
          <cell r="N81" t="str">
            <v>나안신</v>
          </cell>
          <cell r="O81">
            <v>3708011019517</v>
          </cell>
          <cell r="CO81">
            <v>1</v>
          </cell>
          <cell r="CX81">
            <v>1</v>
          </cell>
          <cell r="FW81">
            <v>860000</v>
          </cell>
          <cell r="GN81">
            <v>0</v>
          </cell>
        </row>
        <row r="82">
          <cell r="B82" t="str">
            <v>미화</v>
          </cell>
          <cell r="C82">
            <v>1</v>
          </cell>
          <cell r="D82">
            <v>37469</v>
          </cell>
          <cell r="G82">
            <v>1</v>
          </cell>
          <cell r="K82">
            <v>4</v>
          </cell>
          <cell r="N82" t="str">
            <v>남정춘</v>
          </cell>
          <cell r="O82">
            <v>4204122168011</v>
          </cell>
          <cell r="CN82">
            <v>1</v>
          </cell>
          <cell r="CX82">
            <v>1</v>
          </cell>
          <cell r="FW82">
            <v>710000</v>
          </cell>
          <cell r="GK82">
            <v>27</v>
          </cell>
          <cell r="GN82">
            <v>27</v>
          </cell>
        </row>
        <row r="83">
          <cell r="B83" t="str">
            <v>미화</v>
          </cell>
          <cell r="C83">
            <v>1</v>
          </cell>
          <cell r="D83">
            <v>37469</v>
          </cell>
          <cell r="G83">
            <v>1</v>
          </cell>
          <cell r="H83">
            <v>1</v>
          </cell>
          <cell r="I83">
            <v>1</v>
          </cell>
          <cell r="J83">
            <v>2</v>
          </cell>
          <cell r="K83">
            <v>2</v>
          </cell>
          <cell r="M83">
            <v>1</v>
          </cell>
          <cell r="N83" t="str">
            <v>민인숙</v>
          </cell>
          <cell r="O83">
            <v>4702052067334</v>
          </cell>
          <cell r="P83">
            <v>55</v>
          </cell>
          <cell r="R83" t="str">
            <v>경기도</v>
          </cell>
          <cell r="S83" t="str">
            <v>성남시</v>
          </cell>
          <cell r="T83" t="str">
            <v>수정구</v>
          </cell>
          <cell r="U83" t="str">
            <v>단대동</v>
          </cell>
          <cell r="V83" t="str">
            <v>182</v>
          </cell>
          <cell r="W83" t="str">
            <v>미도</v>
          </cell>
          <cell r="X83">
            <v>1</v>
          </cell>
          <cell r="Y83">
            <v>1105</v>
          </cell>
          <cell r="Z83">
            <v>317425315</v>
          </cell>
          <cell r="AC83">
            <v>1</v>
          </cell>
          <cell r="BS83">
            <v>1</v>
          </cell>
          <cell r="BU83">
            <v>1</v>
          </cell>
          <cell r="CN83">
            <v>1</v>
          </cell>
          <cell r="CX83">
            <v>1</v>
          </cell>
          <cell r="FW83">
            <v>710000</v>
          </cell>
          <cell r="FZ83" t="str">
            <v>339-07-028787</v>
          </cell>
          <cell r="GK83">
            <v>27</v>
          </cell>
          <cell r="GN83">
            <v>27</v>
          </cell>
        </row>
        <row r="84">
          <cell r="B84" t="str">
            <v>미화</v>
          </cell>
          <cell r="C84">
            <v>1</v>
          </cell>
          <cell r="D84">
            <v>37469</v>
          </cell>
          <cell r="E84">
            <v>1</v>
          </cell>
          <cell r="G84">
            <v>0</v>
          </cell>
          <cell r="N84" t="str">
            <v>박안수</v>
          </cell>
          <cell r="O84">
            <v>4703152648411</v>
          </cell>
          <cell r="FW84">
            <v>0</v>
          </cell>
          <cell r="GN84">
            <v>0</v>
          </cell>
        </row>
        <row r="85">
          <cell r="B85" t="str">
            <v>미화</v>
          </cell>
          <cell r="C85">
            <v>1</v>
          </cell>
          <cell r="E85">
            <v>1</v>
          </cell>
          <cell r="G85">
            <v>0</v>
          </cell>
          <cell r="N85" t="str">
            <v>박용건</v>
          </cell>
          <cell r="FW85">
            <v>0</v>
          </cell>
          <cell r="GN85">
            <v>0</v>
          </cell>
        </row>
        <row r="86">
          <cell r="B86" t="str">
            <v>미화</v>
          </cell>
          <cell r="C86">
            <v>1</v>
          </cell>
          <cell r="D86">
            <v>37469</v>
          </cell>
          <cell r="G86">
            <v>1</v>
          </cell>
          <cell r="H86">
            <v>1</v>
          </cell>
          <cell r="I86">
            <v>1</v>
          </cell>
          <cell r="J86">
            <v>2</v>
          </cell>
          <cell r="K86">
            <v>2</v>
          </cell>
          <cell r="M86">
            <v>1</v>
          </cell>
          <cell r="N86" t="str">
            <v>서상원</v>
          </cell>
          <cell r="O86">
            <v>4602251345317</v>
          </cell>
          <cell r="P86">
            <v>57</v>
          </cell>
          <cell r="R86" t="str">
            <v>경기도</v>
          </cell>
          <cell r="S86" t="str">
            <v>성남시</v>
          </cell>
          <cell r="T86" t="str">
            <v>중원구</v>
          </cell>
          <cell r="U86" t="str">
            <v>상대원2동</v>
          </cell>
          <cell r="V86" t="str">
            <v>5405</v>
          </cell>
          <cell r="W86" t="str">
            <v>장미마을</v>
          </cell>
          <cell r="Y86" t="str">
            <v>201호</v>
          </cell>
          <cell r="Z86">
            <v>317315639</v>
          </cell>
          <cell r="AB86">
            <v>5921</v>
          </cell>
          <cell r="AC86">
            <v>1</v>
          </cell>
          <cell r="BS86">
            <v>1</v>
          </cell>
          <cell r="BU86">
            <v>1</v>
          </cell>
          <cell r="BV86">
            <v>1</v>
          </cell>
          <cell r="CN86">
            <v>1</v>
          </cell>
          <cell r="CW86">
            <v>1</v>
          </cell>
          <cell r="FW86">
            <v>900000</v>
          </cell>
          <cell r="FZ86" t="str">
            <v>302-241610-02-001</v>
          </cell>
          <cell r="GK86">
            <v>27</v>
          </cell>
          <cell r="GN86">
            <v>27</v>
          </cell>
        </row>
        <row r="87">
          <cell r="B87" t="str">
            <v>미화</v>
          </cell>
          <cell r="C87">
            <v>1</v>
          </cell>
          <cell r="D87">
            <v>37480</v>
          </cell>
          <cell r="G87">
            <v>1</v>
          </cell>
          <cell r="H87">
            <v>1</v>
          </cell>
          <cell r="I87">
            <v>1</v>
          </cell>
          <cell r="J87">
            <v>2</v>
          </cell>
          <cell r="K87">
            <v>2</v>
          </cell>
          <cell r="N87" t="str">
            <v>선종연</v>
          </cell>
          <cell r="O87">
            <v>6107201168220</v>
          </cell>
          <cell r="P87">
            <v>41</v>
          </cell>
          <cell r="R87" t="str">
            <v>경기도</v>
          </cell>
          <cell r="S87" t="str">
            <v>성남시</v>
          </cell>
          <cell r="T87" t="str">
            <v>중원구</v>
          </cell>
          <cell r="U87" t="str">
            <v>금광2동</v>
          </cell>
          <cell r="V87" t="str">
            <v>4445</v>
          </cell>
          <cell r="Z87">
            <v>317483825</v>
          </cell>
          <cell r="CO87">
            <v>1</v>
          </cell>
          <cell r="CV87">
            <v>1</v>
          </cell>
          <cell r="FW87">
            <v>1000000</v>
          </cell>
          <cell r="GN87">
            <v>0</v>
          </cell>
        </row>
        <row r="88">
          <cell r="B88" t="str">
            <v>미화</v>
          </cell>
          <cell r="C88">
            <v>1</v>
          </cell>
          <cell r="D88">
            <v>37469</v>
          </cell>
          <cell r="E88">
            <v>1</v>
          </cell>
          <cell r="F88">
            <v>37481</v>
          </cell>
          <cell r="G88">
            <v>0</v>
          </cell>
          <cell r="H88">
            <v>1</v>
          </cell>
          <cell r="J88">
            <v>1</v>
          </cell>
          <cell r="M88">
            <v>1</v>
          </cell>
          <cell r="N88" t="str">
            <v>신야임</v>
          </cell>
          <cell r="O88">
            <v>5004052545325</v>
          </cell>
          <cell r="AB88">
            <v>5030</v>
          </cell>
          <cell r="CN88">
            <v>1</v>
          </cell>
          <cell r="CX88">
            <v>1</v>
          </cell>
          <cell r="FW88">
            <v>750000</v>
          </cell>
          <cell r="FZ88" t="str">
            <v>314-21-0020-726</v>
          </cell>
          <cell r="GK88">
            <v>12</v>
          </cell>
          <cell r="GN88">
            <v>12</v>
          </cell>
        </row>
        <row r="89">
          <cell r="B89" t="str">
            <v>미화</v>
          </cell>
          <cell r="C89">
            <v>1</v>
          </cell>
          <cell r="D89">
            <v>37476</v>
          </cell>
          <cell r="G89">
            <v>1</v>
          </cell>
          <cell r="H89">
            <v>1</v>
          </cell>
          <cell r="I89">
            <v>1</v>
          </cell>
          <cell r="J89">
            <v>2</v>
          </cell>
          <cell r="K89">
            <v>2</v>
          </cell>
          <cell r="N89" t="str">
            <v>신은호</v>
          </cell>
          <cell r="O89" t="str">
            <v>610606-1052314</v>
          </cell>
          <cell r="P89">
            <v>41</v>
          </cell>
          <cell r="R89" t="str">
            <v>경기도</v>
          </cell>
          <cell r="S89" t="str">
            <v>광주시</v>
          </cell>
          <cell r="T89" t="str">
            <v>오포읍</v>
          </cell>
          <cell r="U89" t="str">
            <v>신현리</v>
          </cell>
          <cell r="V89" t="str">
            <v>591-17</v>
          </cell>
          <cell r="W89" t="str">
            <v>용마신현타운</v>
          </cell>
          <cell r="X89">
            <v>202</v>
          </cell>
          <cell r="Y89">
            <v>201</v>
          </cell>
          <cell r="Z89">
            <v>317260215</v>
          </cell>
          <cell r="AC89">
            <v>1</v>
          </cell>
          <cell r="BS89">
            <v>1</v>
          </cell>
          <cell r="BU89">
            <v>1</v>
          </cell>
          <cell r="CN89">
            <v>1</v>
          </cell>
          <cell r="CT89">
            <v>1</v>
          </cell>
          <cell r="FX89">
            <v>22000000</v>
          </cell>
          <cell r="FZ89" t="str">
            <v>192-07-127576</v>
          </cell>
          <cell r="GK89">
            <v>23</v>
          </cell>
          <cell r="GN89">
            <v>23</v>
          </cell>
        </row>
        <row r="90">
          <cell r="B90" t="str">
            <v>미화</v>
          </cell>
          <cell r="C90">
            <v>1</v>
          </cell>
          <cell r="D90">
            <v>37502</v>
          </cell>
          <cell r="G90">
            <v>1</v>
          </cell>
          <cell r="H90">
            <v>1</v>
          </cell>
          <cell r="I90">
            <v>1</v>
          </cell>
          <cell r="J90">
            <v>2</v>
          </cell>
          <cell r="K90">
            <v>2</v>
          </cell>
          <cell r="M90">
            <v>1</v>
          </cell>
          <cell r="N90" t="str">
            <v>신의선</v>
          </cell>
          <cell r="O90" t="str">
            <v>350814-2018610</v>
          </cell>
          <cell r="P90">
            <v>67</v>
          </cell>
          <cell r="R90" t="str">
            <v>경기도</v>
          </cell>
          <cell r="S90" t="str">
            <v>성남시</v>
          </cell>
          <cell r="T90" t="str">
            <v>수정구</v>
          </cell>
          <cell r="U90" t="str">
            <v>양지동</v>
          </cell>
          <cell r="V90" t="str">
            <v>466</v>
          </cell>
          <cell r="W90" t="str">
            <v>은행빌라</v>
          </cell>
          <cell r="X90">
            <v>3</v>
          </cell>
          <cell r="Y90">
            <v>101</v>
          </cell>
          <cell r="Z90">
            <v>317423851</v>
          </cell>
          <cell r="AC90">
            <v>1</v>
          </cell>
          <cell r="BT90">
            <v>1</v>
          </cell>
          <cell r="CN90">
            <v>1</v>
          </cell>
          <cell r="CX90">
            <v>1</v>
          </cell>
          <cell r="FW90">
            <v>710000</v>
          </cell>
          <cell r="FZ90" t="str">
            <v>772-041484-02-101</v>
          </cell>
        </row>
        <row r="91">
          <cell r="B91" t="str">
            <v>미화</v>
          </cell>
          <cell r="C91">
            <v>1</v>
          </cell>
          <cell r="D91">
            <v>37469</v>
          </cell>
          <cell r="G91">
            <v>1</v>
          </cell>
          <cell r="H91">
            <v>1</v>
          </cell>
          <cell r="I91">
            <v>1</v>
          </cell>
          <cell r="J91">
            <v>2</v>
          </cell>
          <cell r="K91">
            <v>1</v>
          </cell>
          <cell r="M91">
            <v>1</v>
          </cell>
          <cell r="N91" t="str">
            <v>오재수</v>
          </cell>
          <cell r="O91">
            <v>4212111011225</v>
          </cell>
          <cell r="P91">
            <v>60</v>
          </cell>
          <cell r="R91" t="str">
            <v>경기도</v>
          </cell>
          <cell r="S91" t="str">
            <v>성남시</v>
          </cell>
          <cell r="T91" t="str">
            <v>수정구</v>
          </cell>
          <cell r="U91" t="str">
            <v>신흥1동</v>
          </cell>
          <cell r="V91" t="str">
            <v>5935</v>
          </cell>
          <cell r="Z91">
            <v>317547771</v>
          </cell>
          <cell r="AC91">
            <v>1</v>
          </cell>
          <cell r="BS91">
            <v>1</v>
          </cell>
          <cell r="CN91">
            <v>1</v>
          </cell>
          <cell r="CX91">
            <v>1</v>
          </cell>
          <cell r="FW91">
            <v>820000</v>
          </cell>
          <cell r="FZ91" t="str">
            <v>798-004101-02-101</v>
          </cell>
          <cell r="GK91">
            <v>27</v>
          </cell>
          <cell r="GN91">
            <v>27</v>
          </cell>
        </row>
        <row r="92">
          <cell r="B92" t="str">
            <v>미화</v>
          </cell>
          <cell r="C92">
            <v>1</v>
          </cell>
          <cell r="D92">
            <v>37494</v>
          </cell>
          <cell r="G92">
            <v>1</v>
          </cell>
          <cell r="H92">
            <v>1</v>
          </cell>
          <cell r="I92">
            <v>1</v>
          </cell>
          <cell r="J92">
            <v>2</v>
          </cell>
          <cell r="M92">
            <v>1</v>
          </cell>
          <cell r="N92" t="str">
            <v>유순례</v>
          </cell>
          <cell r="O92" t="str">
            <v>341114-2394719</v>
          </cell>
          <cell r="P92">
            <v>67</v>
          </cell>
          <cell r="R92" t="str">
            <v>경기도</v>
          </cell>
          <cell r="S92" t="str">
            <v>성남시</v>
          </cell>
          <cell r="T92" t="str">
            <v>수정구</v>
          </cell>
          <cell r="U92" t="str">
            <v>신흥2동</v>
          </cell>
          <cell r="W92" t="str">
            <v>두산</v>
          </cell>
          <cell r="X92">
            <v>101</v>
          </cell>
          <cell r="Y92">
            <v>1502</v>
          </cell>
          <cell r="Z92">
            <v>317319372</v>
          </cell>
          <cell r="BU92">
            <v>1</v>
          </cell>
          <cell r="CO92">
            <v>1</v>
          </cell>
          <cell r="CX92">
            <v>1</v>
          </cell>
          <cell r="FW92">
            <v>710000</v>
          </cell>
          <cell r="FZ92" t="str">
            <v>772-126412-02-004</v>
          </cell>
        </row>
        <row r="93">
          <cell r="B93" t="str">
            <v>미화</v>
          </cell>
          <cell r="C93">
            <v>1</v>
          </cell>
          <cell r="D93">
            <v>37469</v>
          </cell>
          <cell r="E93">
            <v>1</v>
          </cell>
          <cell r="F93">
            <v>37476</v>
          </cell>
          <cell r="G93">
            <v>0</v>
          </cell>
          <cell r="H93">
            <v>1</v>
          </cell>
          <cell r="M93">
            <v>1</v>
          </cell>
          <cell r="N93" t="str">
            <v>윤금자</v>
          </cell>
          <cell r="O93">
            <v>4403212074318</v>
          </cell>
          <cell r="CN93">
            <v>1</v>
          </cell>
          <cell r="CX93">
            <v>1</v>
          </cell>
          <cell r="FW93">
            <v>30000</v>
          </cell>
          <cell r="FZ93" t="str">
            <v>339-069413-02-201</v>
          </cell>
          <cell r="GK93">
            <v>8</v>
          </cell>
          <cell r="GL93">
            <v>3</v>
          </cell>
          <cell r="GN93">
            <v>11</v>
          </cell>
        </row>
        <row r="94">
          <cell r="B94" t="str">
            <v>미화</v>
          </cell>
          <cell r="C94">
            <v>1</v>
          </cell>
          <cell r="D94">
            <v>37469</v>
          </cell>
          <cell r="G94">
            <v>1</v>
          </cell>
          <cell r="I94">
            <v>1</v>
          </cell>
          <cell r="J94">
            <v>2</v>
          </cell>
          <cell r="K94">
            <v>1</v>
          </cell>
          <cell r="M94">
            <v>1</v>
          </cell>
          <cell r="N94" t="str">
            <v>윤영순</v>
          </cell>
          <cell r="O94">
            <v>4603122167510</v>
          </cell>
          <cell r="P94">
            <v>56</v>
          </cell>
          <cell r="R94" t="str">
            <v>경기도</v>
          </cell>
          <cell r="S94" t="str">
            <v>성남시</v>
          </cell>
          <cell r="T94" t="str">
            <v>수정구</v>
          </cell>
          <cell r="U94" t="str">
            <v>태평1동</v>
          </cell>
          <cell r="V94" t="str">
            <v>6088</v>
          </cell>
          <cell r="Z94">
            <v>317521938</v>
          </cell>
          <cell r="AC94">
            <v>1</v>
          </cell>
          <cell r="BT94">
            <v>1</v>
          </cell>
          <cell r="CO94">
            <v>1</v>
          </cell>
          <cell r="CX94">
            <v>1</v>
          </cell>
          <cell r="FW94">
            <v>750000</v>
          </cell>
          <cell r="FZ94" t="str">
            <v>339-07-031262</v>
          </cell>
          <cell r="GK94">
            <v>27</v>
          </cell>
          <cell r="GN94">
            <v>27</v>
          </cell>
        </row>
        <row r="95">
          <cell r="B95" t="str">
            <v>미화</v>
          </cell>
          <cell r="C95">
            <v>1</v>
          </cell>
          <cell r="D95">
            <v>37469</v>
          </cell>
          <cell r="G95">
            <v>1</v>
          </cell>
          <cell r="H95">
            <v>1</v>
          </cell>
          <cell r="I95">
            <v>1</v>
          </cell>
          <cell r="J95">
            <v>2</v>
          </cell>
          <cell r="K95">
            <v>1</v>
          </cell>
          <cell r="M95">
            <v>1</v>
          </cell>
          <cell r="N95" t="str">
            <v>윤점순</v>
          </cell>
          <cell r="O95">
            <v>1010202659711</v>
          </cell>
          <cell r="P95">
            <v>62</v>
          </cell>
          <cell r="R95" t="str">
            <v>경기도</v>
          </cell>
          <cell r="S95" t="str">
            <v>성남시</v>
          </cell>
          <cell r="T95" t="str">
            <v>중원구</v>
          </cell>
          <cell r="U95" t="str">
            <v>성남동</v>
          </cell>
          <cell r="V95" t="str">
            <v>4471</v>
          </cell>
          <cell r="Z95">
            <v>317541103</v>
          </cell>
          <cell r="CN95">
            <v>1</v>
          </cell>
          <cell r="CX95">
            <v>1</v>
          </cell>
          <cell r="FW95">
            <v>710000</v>
          </cell>
          <cell r="FZ95" t="str">
            <v>307-167443-02-001</v>
          </cell>
          <cell r="GK95">
            <v>27</v>
          </cell>
          <cell r="GN95">
            <v>27</v>
          </cell>
        </row>
        <row r="96">
          <cell r="B96" t="str">
            <v>미화</v>
          </cell>
          <cell r="C96">
            <v>1</v>
          </cell>
          <cell r="D96">
            <v>37498</v>
          </cell>
          <cell r="G96">
            <v>1</v>
          </cell>
          <cell r="H96">
            <v>1</v>
          </cell>
          <cell r="I96">
            <v>1</v>
          </cell>
          <cell r="J96">
            <v>3</v>
          </cell>
          <cell r="K96">
            <v>2</v>
          </cell>
          <cell r="M96">
            <v>1</v>
          </cell>
          <cell r="N96" t="str">
            <v>이구희</v>
          </cell>
          <cell r="O96" t="str">
            <v>391214-1320914</v>
          </cell>
          <cell r="P96">
            <v>63</v>
          </cell>
          <cell r="R96" t="str">
            <v>경기도</v>
          </cell>
          <cell r="S96" t="str">
            <v>성남시</v>
          </cell>
          <cell r="T96" t="str">
            <v>중원구</v>
          </cell>
          <cell r="U96" t="str">
            <v>상대원3동</v>
          </cell>
          <cell r="V96" t="str">
            <v>2501</v>
          </cell>
          <cell r="BU96">
            <v>1</v>
          </cell>
          <cell r="CN96">
            <v>1</v>
          </cell>
          <cell r="CX96">
            <v>1</v>
          </cell>
          <cell r="FW96">
            <v>800000</v>
          </cell>
          <cell r="FZ96" t="str">
            <v>772-040412-02-101</v>
          </cell>
        </row>
        <row r="97">
          <cell r="B97" t="str">
            <v>미화</v>
          </cell>
          <cell r="C97">
            <v>1</v>
          </cell>
          <cell r="D97">
            <v>37469</v>
          </cell>
          <cell r="G97">
            <v>1</v>
          </cell>
          <cell r="H97">
            <v>1</v>
          </cell>
          <cell r="I97">
            <v>1</v>
          </cell>
          <cell r="J97">
            <v>2</v>
          </cell>
          <cell r="K97">
            <v>1</v>
          </cell>
          <cell r="M97">
            <v>1</v>
          </cell>
          <cell r="N97" t="str">
            <v>이경희</v>
          </cell>
          <cell r="O97">
            <v>4309162019731</v>
          </cell>
          <cell r="P97">
            <v>59</v>
          </cell>
          <cell r="R97" t="str">
            <v>경기도</v>
          </cell>
          <cell r="S97" t="str">
            <v>성남시</v>
          </cell>
          <cell r="T97" t="str">
            <v>분당구</v>
          </cell>
          <cell r="U97" t="str">
            <v>금곡동</v>
          </cell>
          <cell r="V97" t="str">
            <v>청솔마을</v>
          </cell>
          <cell r="W97" t="str">
            <v>영남</v>
          </cell>
          <cell r="X97">
            <v>105</v>
          </cell>
          <cell r="Y97">
            <v>901</v>
          </cell>
          <cell r="Z97">
            <v>317151493</v>
          </cell>
          <cell r="AC97">
            <v>1</v>
          </cell>
          <cell r="BS97">
            <v>1</v>
          </cell>
          <cell r="BU97">
            <v>1</v>
          </cell>
          <cell r="BV97">
            <v>1</v>
          </cell>
          <cell r="BW97">
            <v>1</v>
          </cell>
          <cell r="CN97">
            <v>1</v>
          </cell>
          <cell r="CX97">
            <v>1</v>
          </cell>
          <cell r="FW97">
            <v>710000</v>
          </cell>
          <cell r="FZ97" t="str">
            <v>339-08-122133</v>
          </cell>
          <cell r="GK97">
            <v>27</v>
          </cell>
          <cell r="GN97">
            <v>27</v>
          </cell>
        </row>
        <row r="98">
          <cell r="B98" t="str">
            <v>미화</v>
          </cell>
          <cell r="C98">
            <v>1</v>
          </cell>
          <cell r="D98">
            <v>37469</v>
          </cell>
          <cell r="G98">
            <v>1</v>
          </cell>
          <cell r="H98">
            <v>1</v>
          </cell>
          <cell r="I98">
            <v>1</v>
          </cell>
          <cell r="J98">
            <v>2</v>
          </cell>
          <cell r="K98">
            <v>2</v>
          </cell>
          <cell r="M98">
            <v>1</v>
          </cell>
          <cell r="N98" t="str">
            <v>이동수</v>
          </cell>
          <cell r="O98">
            <v>4210021025813</v>
          </cell>
          <cell r="P98">
            <v>59</v>
          </cell>
          <cell r="R98" t="str">
            <v>경기도</v>
          </cell>
          <cell r="S98" t="str">
            <v>성남시</v>
          </cell>
          <cell r="T98" t="str">
            <v>중원구</v>
          </cell>
          <cell r="U98" t="str">
            <v>성남동</v>
          </cell>
          <cell r="V98" t="str">
            <v>4304</v>
          </cell>
          <cell r="W98" t="str">
            <v>거성맨션</v>
          </cell>
          <cell r="Y98">
            <v>1302</v>
          </cell>
          <cell r="Z98">
            <v>317513396</v>
          </cell>
          <cell r="AA98">
            <v>1191493396</v>
          </cell>
          <cell r="AE98">
            <v>1</v>
          </cell>
          <cell r="BU98">
            <v>1</v>
          </cell>
          <cell r="BV98">
            <v>1</v>
          </cell>
          <cell r="CN98">
            <v>1</v>
          </cell>
          <cell r="CX98">
            <v>1</v>
          </cell>
          <cell r="FW98">
            <v>800000</v>
          </cell>
          <cell r="FZ98" t="str">
            <v>772-028087-02-101</v>
          </cell>
          <cell r="GK98">
            <v>30</v>
          </cell>
          <cell r="GN98">
            <v>30</v>
          </cell>
        </row>
        <row r="99">
          <cell r="B99" t="str">
            <v>미화</v>
          </cell>
          <cell r="C99">
            <v>1</v>
          </cell>
          <cell r="D99">
            <v>37469</v>
          </cell>
          <cell r="G99">
            <v>1</v>
          </cell>
          <cell r="H99">
            <v>1</v>
          </cell>
          <cell r="J99">
            <v>2</v>
          </cell>
          <cell r="K99">
            <v>2</v>
          </cell>
          <cell r="M99">
            <v>1</v>
          </cell>
          <cell r="N99" t="str">
            <v>이상길</v>
          </cell>
          <cell r="O99" t="str">
            <v>480324-1229613</v>
          </cell>
          <cell r="R99" t="str">
            <v>경기도</v>
          </cell>
          <cell r="S99" t="str">
            <v>성남시</v>
          </cell>
          <cell r="T99" t="str">
            <v>분당구</v>
          </cell>
          <cell r="U99" t="str">
            <v>구미동</v>
          </cell>
          <cell r="V99" t="str">
            <v>35-9</v>
          </cell>
          <cell r="AC99">
            <v>1</v>
          </cell>
          <cell r="BS99">
            <v>1</v>
          </cell>
          <cell r="BU99">
            <v>1</v>
          </cell>
          <cell r="CN99">
            <v>1</v>
          </cell>
          <cell r="CX99">
            <v>1</v>
          </cell>
          <cell r="FW99">
            <v>820000</v>
          </cell>
          <cell r="FZ99" t="str">
            <v>367-08-040129</v>
          </cell>
          <cell r="GK99">
            <v>27</v>
          </cell>
          <cell r="GN99">
            <v>27</v>
          </cell>
        </row>
        <row r="100">
          <cell r="B100" t="str">
            <v>미화</v>
          </cell>
          <cell r="C100">
            <v>1</v>
          </cell>
          <cell r="D100">
            <v>37475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 t="str">
            <v>생활보호대상</v>
          </cell>
          <cell r="M100">
            <v>1</v>
          </cell>
          <cell r="N100" t="str">
            <v>이숙자</v>
          </cell>
          <cell r="O100" t="str">
            <v>570806-2595323</v>
          </cell>
          <cell r="R100" t="str">
            <v>경기도</v>
          </cell>
          <cell r="S100" t="str">
            <v>성남시</v>
          </cell>
          <cell r="T100" t="str">
            <v>수정구</v>
          </cell>
          <cell r="U100" t="str">
            <v>신흥동</v>
          </cell>
          <cell r="V100" t="str">
            <v>10</v>
          </cell>
          <cell r="W100" t="str">
            <v>주공</v>
          </cell>
          <cell r="X100">
            <v>108</v>
          </cell>
          <cell r="Y100">
            <v>106</v>
          </cell>
          <cell r="Z100">
            <v>317485513</v>
          </cell>
          <cell r="BQ100">
            <v>1</v>
          </cell>
          <cell r="CN100">
            <v>1</v>
          </cell>
          <cell r="CX100">
            <v>1</v>
          </cell>
          <cell r="FW100">
            <v>730000</v>
          </cell>
          <cell r="FZ100" t="str">
            <v>농협 100026-52-158423</v>
          </cell>
          <cell r="GK100">
            <v>21</v>
          </cell>
          <cell r="GN100">
            <v>21</v>
          </cell>
        </row>
        <row r="101">
          <cell r="B101" t="str">
            <v>미화</v>
          </cell>
          <cell r="C101">
            <v>1</v>
          </cell>
          <cell r="D101">
            <v>37469</v>
          </cell>
          <cell r="G101">
            <v>1</v>
          </cell>
          <cell r="H101">
            <v>1</v>
          </cell>
          <cell r="I101">
            <v>0.5</v>
          </cell>
          <cell r="J101">
            <v>2</v>
          </cell>
          <cell r="K101">
            <v>3</v>
          </cell>
          <cell r="M101">
            <v>1</v>
          </cell>
          <cell r="N101" t="str">
            <v>이쌍여</v>
          </cell>
          <cell r="O101">
            <v>4408232396527</v>
          </cell>
          <cell r="P101">
            <v>58</v>
          </cell>
          <cell r="R101" t="str">
            <v>경기도</v>
          </cell>
          <cell r="S101" t="str">
            <v>성남시</v>
          </cell>
          <cell r="T101" t="str">
            <v>분당구</v>
          </cell>
          <cell r="U101" t="str">
            <v>야탑동</v>
          </cell>
          <cell r="V101" t="str">
            <v>147</v>
          </cell>
          <cell r="W101" t="str">
            <v>SK</v>
          </cell>
          <cell r="X101">
            <v>601</v>
          </cell>
          <cell r="Y101">
            <v>704</v>
          </cell>
          <cell r="Z101">
            <v>317051691</v>
          </cell>
          <cell r="AC101">
            <v>1</v>
          </cell>
          <cell r="BT101">
            <v>1</v>
          </cell>
          <cell r="BU101">
            <v>1</v>
          </cell>
          <cell r="CN101">
            <v>1</v>
          </cell>
          <cell r="CX101">
            <v>1</v>
          </cell>
          <cell r="FW101">
            <v>710000</v>
          </cell>
          <cell r="FZ101" t="str">
            <v>709-384263-02-001</v>
          </cell>
          <cell r="GK101">
            <v>27</v>
          </cell>
          <cell r="GL101">
            <v>15</v>
          </cell>
          <cell r="GN101">
            <v>42</v>
          </cell>
        </row>
        <row r="102">
          <cell r="B102" t="str">
            <v>미화</v>
          </cell>
          <cell r="C102">
            <v>1</v>
          </cell>
          <cell r="D102">
            <v>37469</v>
          </cell>
          <cell r="G102">
            <v>1</v>
          </cell>
          <cell r="H102">
            <v>1</v>
          </cell>
          <cell r="I102">
            <v>1</v>
          </cell>
          <cell r="J102">
            <v>2</v>
          </cell>
          <cell r="K102">
            <v>2</v>
          </cell>
          <cell r="M102">
            <v>1</v>
          </cell>
          <cell r="N102" t="str">
            <v>이양임</v>
          </cell>
          <cell r="O102">
            <v>4404102001711</v>
          </cell>
          <cell r="P102">
            <v>58</v>
          </cell>
          <cell r="R102" t="str">
            <v>경기도</v>
          </cell>
          <cell r="S102" t="str">
            <v>성남시</v>
          </cell>
          <cell r="T102" t="str">
            <v>중원구</v>
          </cell>
          <cell r="U102" t="str">
            <v>중동</v>
          </cell>
          <cell r="V102" t="str">
            <v>3597</v>
          </cell>
          <cell r="Z102">
            <v>317426785</v>
          </cell>
          <cell r="AC102">
            <v>1</v>
          </cell>
          <cell r="BT102">
            <v>1</v>
          </cell>
          <cell r="BU102">
            <v>1</v>
          </cell>
          <cell r="CN102">
            <v>1</v>
          </cell>
          <cell r="CX102">
            <v>1</v>
          </cell>
          <cell r="FW102">
            <v>780000</v>
          </cell>
          <cell r="FZ102" t="str">
            <v>339-08-084460</v>
          </cell>
          <cell r="GK102">
            <v>27</v>
          </cell>
          <cell r="GL102">
            <v>12</v>
          </cell>
          <cell r="GN102">
            <v>39</v>
          </cell>
        </row>
        <row r="103">
          <cell r="B103" t="str">
            <v>미화</v>
          </cell>
          <cell r="C103">
            <v>1</v>
          </cell>
          <cell r="D103">
            <v>37469</v>
          </cell>
          <cell r="G103">
            <v>1</v>
          </cell>
          <cell r="H103">
            <v>1</v>
          </cell>
          <cell r="I103">
            <v>1</v>
          </cell>
          <cell r="J103">
            <v>2</v>
          </cell>
          <cell r="K103">
            <v>2</v>
          </cell>
          <cell r="M103">
            <v>1</v>
          </cell>
          <cell r="N103" t="str">
            <v>이영재</v>
          </cell>
          <cell r="O103">
            <v>5006032017816</v>
          </cell>
          <cell r="R103" t="str">
            <v>경기도</v>
          </cell>
          <cell r="S103" t="str">
            <v>성남시</v>
          </cell>
          <cell r="T103" t="str">
            <v>수정구</v>
          </cell>
          <cell r="U103" t="str">
            <v>태평3동</v>
          </cell>
          <cell r="V103" t="str">
            <v>5018</v>
          </cell>
          <cell r="Z103">
            <v>317587791</v>
          </cell>
          <cell r="AC103">
            <v>1</v>
          </cell>
          <cell r="BS103">
            <v>1</v>
          </cell>
          <cell r="BU103">
            <v>1</v>
          </cell>
          <cell r="CN103">
            <v>1</v>
          </cell>
          <cell r="CX103">
            <v>1</v>
          </cell>
          <cell r="FW103">
            <v>710000</v>
          </cell>
          <cell r="FZ103" t="str">
            <v>772-017964-02-101</v>
          </cell>
          <cell r="GK103">
            <v>27</v>
          </cell>
          <cell r="GN103">
            <v>27</v>
          </cell>
        </row>
        <row r="104">
          <cell r="B104" t="str">
            <v>미화</v>
          </cell>
          <cell r="C104">
            <v>1</v>
          </cell>
          <cell r="D104">
            <v>37475</v>
          </cell>
          <cell r="G104">
            <v>1</v>
          </cell>
          <cell r="H104">
            <v>1</v>
          </cell>
          <cell r="I104">
            <v>1</v>
          </cell>
          <cell r="J104">
            <v>2</v>
          </cell>
          <cell r="K104">
            <v>2</v>
          </cell>
          <cell r="M104">
            <v>1</v>
          </cell>
          <cell r="N104" t="str">
            <v>이용희</v>
          </cell>
          <cell r="O104" t="str">
            <v>350510-2011618</v>
          </cell>
          <cell r="P104">
            <v>67</v>
          </cell>
          <cell r="R104" t="str">
            <v>경기도</v>
          </cell>
          <cell r="S104" t="str">
            <v>수원시</v>
          </cell>
          <cell r="T104" t="str">
            <v>권선구</v>
          </cell>
          <cell r="U104" t="str">
            <v>구운동</v>
          </cell>
          <cell r="V104" t="str">
            <v>893</v>
          </cell>
          <cell r="W104" t="str">
            <v>성원</v>
          </cell>
          <cell r="X104">
            <v>105</v>
          </cell>
          <cell r="Y104">
            <v>1102</v>
          </cell>
          <cell r="Z104">
            <v>312983247</v>
          </cell>
          <cell r="AC104">
            <v>1</v>
          </cell>
          <cell r="BT104">
            <v>1</v>
          </cell>
          <cell r="CN104">
            <v>1</v>
          </cell>
          <cell r="CX104">
            <v>1</v>
          </cell>
          <cell r="FW104">
            <v>710000</v>
          </cell>
          <cell r="FZ104" t="str">
            <v>772-036300-02-101</v>
          </cell>
          <cell r="GK104">
            <v>23</v>
          </cell>
          <cell r="GN104">
            <v>23</v>
          </cell>
        </row>
        <row r="105">
          <cell r="B105" t="str">
            <v>미화</v>
          </cell>
          <cell r="C105">
            <v>1</v>
          </cell>
          <cell r="D105">
            <v>37477</v>
          </cell>
          <cell r="E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L105" t="str">
            <v>생활보호대상</v>
          </cell>
          <cell r="N105" t="str">
            <v>이정옥</v>
          </cell>
          <cell r="O105" t="str">
            <v>440808-2025115</v>
          </cell>
          <cell r="R105" t="str">
            <v>경기도</v>
          </cell>
          <cell r="S105" t="str">
            <v>성남시</v>
          </cell>
          <cell r="T105" t="str">
            <v>수정구</v>
          </cell>
          <cell r="U105" t="str">
            <v>태평동</v>
          </cell>
          <cell r="V105" t="str">
            <v>3745-22</v>
          </cell>
          <cell r="AE105">
            <v>1</v>
          </cell>
          <cell r="BU105">
            <v>1</v>
          </cell>
          <cell r="CN105">
            <v>1</v>
          </cell>
          <cell r="CX105">
            <v>1</v>
          </cell>
          <cell r="FW105">
            <v>800000</v>
          </cell>
          <cell r="FZ105" t="str">
            <v>939-011790-02-001</v>
          </cell>
          <cell r="GK105">
            <v>6</v>
          </cell>
          <cell r="GN105">
            <v>6</v>
          </cell>
        </row>
        <row r="106">
          <cell r="B106" t="str">
            <v>미화</v>
          </cell>
          <cell r="C106">
            <v>1</v>
          </cell>
          <cell r="D106">
            <v>37469</v>
          </cell>
          <cell r="G106">
            <v>1</v>
          </cell>
          <cell r="H106">
            <v>1</v>
          </cell>
          <cell r="I106">
            <v>1</v>
          </cell>
          <cell r="J106">
            <v>2</v>
          </cell>
          <cell r="K106">
            <v>2</v>
          </cell>
          <cell r="M106">
            <v>1</v>
          </cell>
          <cell r="N106" t="str">
            <v>이정호</v>
          </cell>
          <cell r="O106">
            <v>4306231167819</v>
          </cell>
          <cell r="P106">
            <v>59</v>
          </cell>
          <cell r="R106" t="str">
            <v>경기도</v>
          </cell>
          <cell r="S106" t="str">
            <v>성남시</v>
          </cell>
          <cell r="T106" t="str">
            <v>수정구</v>
          </cell>
          <cell r="U106" t="str">
            <v>수진1동</v>
          </cell>
          <cell r="V106" t="str">
            <v>2609번지</v>
          </cell>
          <cell r="Z106">
            <v>317516390</v>
          </cell>
          <cell r="AE106">
            <v>1</v>
          </cell>
          <cell r="BU106">
            <v>1</v>
          </cell>
          <cell r="CN106">
            <v>1</v>
          </cell>
          <cell r="CX106">
            <v>1</v>
          </cell>
          <cell r="FW106">
            <v>820000</v>
          </cell>
          <cell r="FZ106" t="str">
            <v>798-195355-02-001</v>
          </cell>
          <cell r="GK106">
            <v>27</v>
          </cell>
          <cell r="GN106">
            <v>27</v>
          </cell>
        </row>
        <row r="107">
          <cell r="B107" t="str">
            <v>미화</v>
          </cell>
          <cell r="C107">
            <v>1</v>
          </cell>
          <cell r="D107">
            <v>37498</v>
          </cell>
          <cell r="G107">
            <v>1</v>
          </cell>
          <cell r="H107" t="str">
            <v>오전알바</v>
          </cell>
          <cell r="I107">
            <v>1</v>
          </cell>
          <cell r="J107">
            <v>1</v>
          </cell>
          <cell r="M107">
            <v>1</v>
          </cell>
          <cell r="N107" t="str">
            <v>이춘자</v>
          </cell>
          <cell r="O107" t="str">
            <v>500913-2024910</v>
          </cell>
          <cell r="P107">
            <v>52</v>
          </cell>
          <cell r="R107" t="str">
            <v>경기도</v>
          </cell>
          <cell r="S107" t="str">
            <v>성남시</v>
          </cell>
          <cell r="T107" t="str">
            <v>수정구</v>
          </cell>
          <cell r="U107" t="str">
            <v>단대동</v>
          </cell>
          <cell r="V107" t="str">
            <v>92-20</v>
          </cell>
          <cell r="Z107">
            <v>317484729</v>
          </cell>
          <cell r="CN107">
            <v>1</v>
          </cell>
          <cell r="CX107">
            <v>1</v>
          </cell>
          <cell r="FW107">
            <v>500000</v>
          </cell>
          <cell r="FZ107" t="str">
            <v>772-042204-02-101</v>
          </cell>
        </row>
        <row r="108">
          <cell r="B108" t="str">
            <v>미화</v>
          </cell>
          <cell r="C108">
            <v>1</v>
          </cell>
          <cell r="D108">
            <v>37469</v>
          </cell>
          <cell r="E108">
            <v>1</v>
          </cell>
          <cell r="F108">
            <v>37470</v>
          </cell>
          <cell r="G108">
            <v>0</v>
          </cell>
          <cell r="N108" t="str">
            <v>장경래</v>
          </cell>
          <cell r="O108">
            <v>4103042167815</v>
          </cell>
          <cell r="CN108">
            <v>1</v>
          </cell>
          <cell r="CX108">
            <v>1</v>
          </cell>
          <cell r="FW108">
            <v>710000</v>
          </cell>
          <cell r="GK108">
            <v>2</v>
          </cell>
          <cell r="GN108">
            <v>2</v>
          </cell>
        </row>
        <row r="109">
          <cell r="B109" t="str">
            <v>미화</v>
          </cell>
          <cell r="C109">
            <v>1</v>
          </cell>
          <cell r="D109">
            <v>37469</v>
          </cell>
          <cell r="E109">
            <v>1</v>
          </cell>
          <cell r="F109">
            <v>37470</v>
          </cell>
          <cell r="G109">
            <v>0</v>
          </cell>
          <cell r="N109" t="str">
            <v>장맹심</v>
          </cell>
          <cell r="O109">
            <v>4110182655421</v>
          </cell>
          <cell r="CN109">
            <v>1</v>
          </cell>
          <cell r="CX109">
            <v>1</v>
          </cell>
          <cell r="FW109">
            <v>710000</v>
          </cell>
          <cell r="GK109">
            <v>2</v>
          </cell>
          <cell r="GN109">
            <v>2</v>
          </cell>
        </row>
        <row r="110">
          <cell r="B110" t="str">
            <v>미화</v>
          </cell>
          <cell r="C110">
            <v>1</v>
          </cell>
          <cell r="D110">
            <v>37469</v>
          </cell>
          <cell r="G110">
            <v>1</v>
          </cell>
          <cell r="H110">
            <v>1</v>
          </cell>
          <cell r="I110">
            <v>1</v>
          </cell>
          <cell r="J110">
            <v>2</v>
          </cell>
          <cell r="K110">
            <v>2</v>
          </cell>
          <cell r="M110">
            <v>1</v>
          </cell>
          <cell r="N110" t="str">
            <v>정상임</v>
          </cell>
          <cell r="O110">
            <v>3606132245011</v>
          </cell>
          <cell r="P110">
            <v>66</v>
          </cell>
          <cell r="R110" t="str">
            <v>경기도</v>
          </cell>
          <cell r="S110" t="str">
            <v>성남시</v>
          </cell>
          <cell r="T110" t="str">
            <v>중원구</v>
          </cell>
          <cell r="U110" t="str">
            <v>은행동</v>
          </cell>
          <cell r="V110" t="str">
            <v>1897번지 3층</v>
          </cell>
          <cell r="Z110">
            <v>317426785</v>
          </cell>
          <cell r="CN110">
            <v>1</v>
          </cell>
          <cell r="CX110">
            <v>1</v>
          </cell>
          <cell r="FW110">
            <v>710000</v>
          </cell>
          <cell r="FZ110" t="str">
            <v>768-107521-02-101</v>
          </cell>
          <cell r="GK110">
            <v>27</v>
          </cell>
          <cell r="GN110">
            <v>27</v>
          </cell>
        </row>
        <row r="111">
          <cell r="B111" t="str">
            <v>미화</v>
          </cell>
          <cell r="C111">
            <v>1</v>
          </cell>
          <cell r="D111">
            <v>37498</v>
          </cell>
          <cell r="G111">
            <v>1</v>
          </cell>
          <cell r="H111">
            <v>1</v>
          </cell>
          <cell r="I111">
            <v>1</v>
          </cell>
          <cell r="J111">
            <v>2</v>
          </cell>
          <cell r="K111">
            <v>2</v>
          </cell>
          <cell r="M111">
            <v>1</v>
          </cell>
          <cell r="N111" t="str">
            <v>정수자</v>
          </cell>
          <cell r="O111" t="str">
            <v>420302-2168311</v>
          </cell>
          <cell r="P111">
            <v>60</v>
          </cell>
          <cell r="R111" t="str">
            <v>경기도</v>
          </cell>
          <cell r="S111" t="str">
            <v>성남시</v>
          </cell>
          <cell r="T111" t="str">
            <v>중원구</v>
          </cell>
          <cell r="U111" t="str">
            <v>금광2동</v>
          </cell>
          <cell r="V111" t="str">
            <v>4805</v>
          </cell>
          <cell r="Z111">
            <v>317341410</v>
          </cell>
          <cell r="AC111">
            <v>1</v>
          </cell>
          <cell r="BT111">
            <v>1</v>
          </cell>
          <cell r="CN111">
            <v>1</v>
          </cell>
          <cell r="CX111">
            <v>1</v>
          </cell>
          <cell r="FW111">
            <v>710000</v>
          </cell>
        </row>
        <row r="112">
          <cell r="B112" t="str">
            <v>미화</v>
          </cell>
          <cell r="C112">
            <v>1</v>
          </cell>
          <cell r="D112">
            <v>37469</v>
          </cell>
          <cell r="G112">
            <v>1</v>
          </cell>
          <cell r="H112">
            <v>1</v>
          </cell>
          <cell r="I112">
            <v>1</v>
          </cell>
          <cell r="J112">
            <v>2</v>
          </cell>
          <cell r="K112">
            <v>2</v>
          </cell>
          <cell r="M112">
            <v>1</v>
          </cell>
          <cell r="N112" t="str">
            <v>정인자</v>
          </cell>
          <cell r="O112">
            <v>6405232565716</v>
          </cell>
          <cell r="P112">
            <v>62</v>
          </cell>
          <cell r="R112" t="str">
            <v>경기도</v>
          </cell>
          <cell r="S112" t="str">
            <v>성남시</v>
          </cell>
          <cell r="T112" t="str">
            <v>수정구</v>
          </cell>
          <cell r="U112" t="str">
            <v>시흥동</v>
          </cell>
          <cell r="V112" t="str">
            <v>38-2</v>
          </cell>
          <cell r="Z112">
            <v>317239988</v>
          </cell>
          <cell r="AC112">
            <v>1</v>
          </cell>
          <cell r="BT112">
            <v>1</v>
          </cell>
          <cell r="BU112">
            <v>1</v>
          </cell>
          <cell r="CN112">
            <v>1</v>
          </cell>
          <cell r="CX112">
            <v>1</v>
          </cell>
          <cell r="FW112">
            <v>750000</v>
          </cell>
          <cell r="FZ112" t="str">
            <v>309-08-047777</v>
          </cell>
          <cell r="GK112">
            <v>27</v>
          </cell>
          <cell r="GL112">
            <v>27</v>
          </cell>
          <cell r="GN112">
            <v>54</v>
          </cell>
        </row>
        <row r="113">
          <cell r="B113" t="str">
            <v>미화</v>
          </cell>
          <cell r="C113">
            <v>1</v>
          </cell>
          <cell r="D113">
            <v>37496</v>
          </cell>
          <cell r="G113">
            <v>1</v>
          </cell>
          <cell r="H113">
            <v>1</v>
          </cell>
          <cell r="I113">
            <v>1</v>
          </cell>
          <cell r="J113">
            <v>2</v>
          </cell>
          <cell r="K113">
            <v>2</v>
          </cell>
          <cell r="M113">
            <v>1</v>
          </cell>
          <cell r="N113" t="str">
            <v>정을순</v>
          </cell>
          <cell r="O113" t="str">
            <v>361205-2347927</v>
          </cell>
          <cell r="P113">
            <v>63</v>
          </cell>
          <cell r="R113" t="str">
            <v>경기도</v>
          </cell>
          <cell r="S113" t="str">
            <v>성남시</v>
          </cell>
          <cell r="T113" t="str">
            <v>중원구</v>
          </cell>
          <cell r="U113" t="str">
            <v>상대원동</v>
          </cell>
          <cell r="V113" t="str">
            <v>2544</v>
          </cell>
          <cell r="Z113">
            <v>317829222</v>
          </cell>
          <cell r="BU113">
            <v>1</v>
          </cell>
          <cell r="CN113">
            <v>1</v>
          </cell>
          <cell r="CX113">
            <v>1</v>
          </cell>
          <cell r="FW113">
            <v>710000</v>
          </cell>
          <cell r="FZ113" t="str">
            <v>772-040453-02-101</v>
          </cell>
        </row>
        <row r="114">
          <cell r="B114" t="str">
            <v>미화</v>
          </cell>
          <cell r="C114">
            <v>1</v>
          </cell>
          <cell r="D114">
            <v>37482</v>
          </cell>
          <cell r="G114">
            <v>1</v>
          </cell>
          <cell r="H114">
            <v>1</v>
          </cell>
          <cell r="I114">
            <v>1</v>
          </cell>
          <cell r="J114">
            <v>2</v>
          </cell>
          <cell r="K114">
            <v>2</v>
          </cell>
          <cell r="M114">
            <v>1</v>
          </cell>
          <cell r="N114" t="str">
            <v>조계순</v>
          </cell>
          <cell r="O114">
            <v>4202282019214</v>
          </cell>
          <cell r="CN114">
            <v>1</v>
          </cell>
          <cell r="CX114">
            <v>1</v>
          </cell>
          <cell r="FW114">
            <v>710000</v>
          </cell>
          <cell r="GK114">
            <v>16</v>
          </cell>
          <cell r="GN114">
            <v>16</v>
          </cell>
        </row>
        <row r="115">
          <cell r="B115" t="str">
            <v>미화</v>
          </cell>
          <cell r="C115">
            <v>1</v>
          </cell>
          <cell r="D115">
            <v>37469</v>
          </cell>
          <cell r="G115">
            <v>1</v>
          </cell>
          <cell r="H115">
            <v>1</v>
          </cell>
          <cell r="I115">
            <v>1</v>
          </cell>
          <cell r="J115">
            <v>2</v>
          </cell>
          <cell r="K115">
            <v>1</v>
          </cell>
          <cell r="M115">
            <v>1</v>
          </cell>
          <cell r="N115" t="str">
            <v>조기옥</v>
          </cell>
          <cell r="O115">
            <v>4102242451311</v>
          </cell>
          <cell r="P115">
            <v>62</v>
          </cell>
          <cell r="R115" t="str">
            <v>경기도</v>
          </cell>
          <cell r="S115" t="str">
            <v>성남시</v>
          </cell>
          <cell r="T115" t="str">
            <v>중원구</v>
          </cell>
          <cell r="U115" t="str">
            <v>성남동</v>
          </cell>
          <cell r="V115" t="str">
            <v>3357번지1층</v>
          </cell>
          <cell r="AA115">
            <v>163267825</v>
          </cell>
          <cell r="CN115">
            <v>1</v>
          </cell>
          <cell r="CX115">
            <v>1</v>
          </cell>
          <cell r="FW115">
            <v>750000</v>
          </cell>
          <cell r="FZ115" t="str">
            <v>315-21-0111-170</v>
          </cell>
          <cell r="GK115">
            <v>27</v>
          </cell>
          <cell r="GL115">
            <v>9</v>
          </cell>
          <cell r="GN115">
            <v>36</v>
          </cell>
        </row>
        <row r="116">
          <cell r="B116" t="str">
            <v>미화</v>
          </cell>
          <cell r="C116">
            <v>1</v>
          </cell>
          <cell r="D116">
            <v>37469</v>
          </cell>
          <cell r="G116">
            <v>1</v>
          </cell>
          <cell r="N116" t="str">
            <v>조달막</v>
          </cell>
          <cell r="O116">
            <v>5704032623816</v>
          </cell>
          <cell r="CN116">
            <v>1</v>
          </cell>
          <cell r="CX116">
            <v>1</v>
          </cell>
          <cell r="FW116">
            <v>750000</v>
          </cell>
          <cell r="GK116">
            <v>27</v>
          </cell>
          <cell r="GN116">
            <v>27</v>
          </cell>
        </row>
        <row r="117">
          <cell r="B117" t="str">
            <v>미화</v>
          </cell>
          <cell r="C117">
            <v>1</v>
          </cell>
          <cell r="D117">
            <v>37482</v>
          </cell>
          <cell r="G117">
            <v>1</v>
          </cell>
          <cell r="I117">
            <v>1</v>
          </cell>
          <cell r="J117">
            <v>2</v>
          </cell>
          <cell r="M117">
            <v>1</v>
          </cell>
          <cell r="N117" t="str">
            <v>조봉호</v>
          </cell>
          <cell r="O117" t="str">
            <v>421115-1079723</v>
          </cell>
          <cell r="P117">
            <v>59</v>
          </cell>
          <cell r="R117" t="str">
            <v>경기도</v>
          </cell>
          <cell r="S117" t="str">
            <v>성남시</v>
          </cell>
          <cell r="T117" t="str">
            <v>분당구</v>
          </cell>
          <cell r="U117" t="str">
            <v>수내3동</v>
          </cell>
          <cell r="X117" t="str">
            <v>90-9호</v>
          </cell>
          <cell r="Y117">
            <v>202</v>
          </cell>
          <cell r="Z117">
            <v>317121270</v>
          </cell>
          <cell r="AA117">
            <v>1198824995</v>
          </cell>
          <cell r="AC117">
            <v>1</v>
          </cell>
          <cell r="BS117">
            <v>1</v>
          </cell>
          <cell r="BU117">
            <v>1</v>
          </cell>
          <cell r="CN117">
            <v>1</v>
          </cell>
          <cell r="CX117">
            <v>1</v>
          </cell>
          <cell r="FW117">
            <v>860000</v>
          </cell>
          <cell r="GN117">
            <v>0</v>
          </cell>
        </row>
        <row r="118">
          <cell r="B118" t="str">
            <v>미화</v>
          </cell>
          <cell r="C118">
            <v>1</v>
          </cell>
          <cell r="D118">
            <v>37502</v>
          </cell>
          <cell r="G118">
            <v>1</v>
          </cell>
          <cell r="H118">
            <v>1</v>
          </cell>
          <cell r="I118">
            <v>1</v>
          </cell>
          <cell r="J118">
            <v>2</v>
          </cell>
          <cell r="K118">
            <v>2</v>
          </cell>
          <cell r="M118">
            <v>1</v>
          </cell>
          <cell r="N118" t="str">
            <v>천추석</v>
          </cell>
          <cell r="O118" t="str">
            <v>420213-2668515</v>
          </cell>
          <cell r="P118">
            <v>59</v>
          </cell>
          <cell r="R118" t="str">
            <v>경기도</v>
          </cell>
          <cell r="S118" t="str">
            <v>성남시</v>
          </cell>
          <cell r="T118" t="str">
            <v>중원구</v>
          </cell>
          <cell r="U118" t="str">
            <v>은행2동</v>
          </cell>
          <cell r="V118" t="str">
            <v>868</v>
          </cell>
          <cell r="Z118">
            <v>317438993</v>
          </cell>
          <cell r="BU118">
            <v>1</v>
          </cell>
          <cell r="CN118">
            <v>1</v>
          </cell>
          <cell r="CX118">
            <v>1</v>
          </cell>
          <cell r="FW118">
            <v>710000</v>
          </cell>
        </row>
        <row r="119">
          <cell r="B119" t="str">
            <v>미화</v>
          </cell>
          <cell r="C119">
            <v>1</v>
          </cell>
          <cell r="D119">
            <v>37469</v>
          </cell>
          <cell r="G119">
            <v>1</v>
          </cell>
          <cell r="H119">
            <v>1</v>
          </cell>
          <cell r="I119">
            <v>1</v>
          </cell>
          <cell r="J119">
            <v>2</v>
          </cell>
          <cell r="K119">
            <v>2</v>
          </cell>
          <cell r="M119">
            <v>1</v>
          </cell>
          <cell r="N119" t="str">
            <v>조종철</v>
          </cell>
          <cell r="O119">
            <v>4112101167910</v>
          </cell>
          <cell r="P119">
            <v>61</v>
          </cell>
          <cell r="R119" t="str">
            <v>경기도</v>
          </cell>
          <cell r="S119" t="str">
            <v>성남시</v>
          </cell>
          <cell r="T119" t="str">
            <v>수정구</v>
          </cell>
          <cell r="U119" t="str">
            <v>수진1동</v>
          </cell>
          <cell r="V119" t="str">
            <v>2612번지</v>
          </cell>
          <cell r="AC119">
            <v>1</v>
          </cell>
          <cell r="BS119">
            <v>1</v>
          </cell>
          <cell r="BU119">
            <v>1</v>
          </cell>
          <cell r="BV119">
            <v>1</v>
          </cell>
          <cell r="CN119">
            <v>1</v>
          </cell>
          <cell r="CX119">
            <v>1</v>
          </cell>
          <cell r="FW119">
            <v>800000</v>
          </cell>
          <cell r="FZ119" t="str">
            <v>798-146958-02-001</v>
          </cell>
          <cell r="GK119">
            <v>27</v>
          </cell>
          <cell r="GN119">
            <v>27</v>
          </cell>
        </row>
        <row r="120">
          <cell r="B120" t="str">
            <v>미화</v>
          </cell>
          <cell r="C120">
            <v>1</v>
          </cell>
          <cell r="D120">
            <v>37469</v>
          </cell>
          <cell r="G120">
            <v>1</v>
          </cell>
          <cell r="H120">
            <v>1</v>
          </cell>
          <cell r="I120">
            <v>0.5</v>
          </cell>
          <cell r="J120">
            <v>2</v>
          </cell>
          <cell r="K120">
            <v>2</v>
          </cell>
          <cell r="M120">
            <v>1</v>
          </cell>
          <cell r="N120" t="str">
            <v>최광지</v>
          </cell>
          <cell r="O120">
            <v>4003302168110</v>
          </cell>
        </row>
        <row r="121">
          <cell r="B121" t="str">
            <v>미화</v>
          </cell>
          <cell r="C121">
            <v>1</v>
          </cell>
          <cell r="D121">
            <v>37469</v>
          </cell>
          <cell r="E121">
            <v>1</v>
          </cell>
          <cell r="F121">
            <v>37476</v>
          </cell>
          <cell r="G121">
            <v>0</v>
          </cell>
          <cell r="H121">
            <v>1</v>
          </cell>
          <cell r="I121">
            <v>1</v>
          </cell>
          <cell r="J121">
            <v>2</v>
          </cell>
          <cell r="K121">
            <v>2</v>
          </cell>
          <cell r="M121">
            <v>1</v>
          </cell>
          <cell r="N121" t="str">
            <v>최영수</v>
          </cell>
          <cell r="O121">
            <v>5001221663911</v>
          </cell>
        </row>
        <row r="122">
          <cell r="B122" t="str">
            <v>미화</v>
          </cell>
          <cell r="C122">
            <v>1</v>
          </cell>
          <cell r="D122">
            <v>37469</v>
          </cell>
          <cell r="G122">
            <v>1</v>
          </cell>
          <cell r="H122">
            <v>1</v>
          </cell>
          <cell r="I122">
            <v>1</v>
          </cell>
          <cell r="J122">
            <v>2</v>
          </cell>
          <cell r="K122">
            <v>2</v>
          </cell>
          <cell r="M122">
            <v>1</v>
          </cell>
          <cell r="N122" t="str">
            <v>최종원</v>
          </cell>
          <cell r="O122">
            <v>3505272807623</v>
          </cell>
        </row>
        <row r="123">
          <cell r="B123" t="str">
            <v>미화</v>
          </cell>
          <cell r="C123">
            <v>1</v>
          </cell>
          <cell r="D123">
            <v>37469</v>
          </cell>
          <cell r="E123">
            <v>1</v>
          </cell>
          <cell r="F123">
            <v>37488</v>
          </cell>
          <cell r="G123">
            <v>0</v>
          </cell>
          <cell r="H123">
            <v>1</v>
          </cell>
          <cell r="I123">
            <v>1</v>
          </cell>
          <cell r="J123">
            <v>2</v>
          </cell>
          <cell r="K123">
            <v>2</v>
          </cell>
          <cell r="M123">
            <v>1</v>
          </cell>
          <cell r="N123" t="str">
            <v>한연자</v>
          </cell>
          <cell r="O123">
            <v>5106122573311</v>
          </cell>
        </row>
        <row r="124">
          <cell r="B124" t="str">
            <v>미화</v>
          </cell>
          <cell r="C124">
            <v>1</v>
          </cell>
          <cell r="D124">
            <v>37469</v>
          </cell>
          <cell r="G124">
            <v>1</v>
          </cell>
          <cell r="J124">
            <v>2</v>
          </cell>
          <cell r="K124">
            <v>3</v>
          </cell>
          <cell r="M124">
            <v>1</v>
          </cell>
          <cell r="N124" t="str">
            <v>황숙자</v>
          </cell>
          <cell r="O124" t="str">
            <v>410117-2815219</v>
          </cell>
        </row>
        <row r="125">
          <cell r="B125" t="str">
            <v>미화</v>
          </cell>
          <cell r="C125">
            <v>1</v>
          </cell>
          <cell r="D125">
            <v>37469</v>
          </cell>
          <cell r="G125">
            <v>1</v>
          </cell>
          <cell r="H125">
            <v>1</v>
          </cell>
          <cell r="I125">
            <v>1</v>
          </cell>
          <cell r="J125">
            <v>2</v>
          </cell>
          <cell r="K125">
            <v>2</v>
          </cell>
          <cell r="M125">
            <v>1</v>
          </cell>
          <cell r="N125" t="str">
            <v>황재남</v>
          </cell>
          <cell r="O125">
            <v>6004152817323</v>
          </cell>
        </row>
        <row r="126">
          <cell r="B126" t="str">
            <v>미화</v>
          </cell>
          <cell r="C126">
            <v>1</v>
          </cell>
          <cell r="D126">
            <v>37474</v>
          </cell>
          <cell r="G126">
            <v>1</v>
          </cell>
          <cell r="H126">
            <v>1</v>
          </cell>
          <cell r="I126">
            <v>1</v>
          </cell>
          <cell r="J126">
            <v>2</v>
          </cell>
          <cell r="K126">
            <v>2</v>
          </cell>
          <cell r="M126">
            <v>1</v>
          </cell>
          <cell r="N126" t="str">
            <v>최복순</v>
          </cell>
          <cell r="O126" t="str">
            <v>441211-2237114</v>
          </cell>
        </row>
        <row r="127">
          <cell r="B127" t="str">
            <v>미화</v>
          </cell>
          <cell r="C127">
            <v>1</v>
          </cell>
          <cell r="D127">
            <v>37478</v>
          </cell>
          <cell r="G127">
            <v>1</v>
          </cell>
          <cell r="H127">
            <v>1</v>
          </cell>
          <cell r="I127">
            <v>1</v>
          </cell>
          <cell r="J127">
            <v>2</v>
          </cell>
          <cell r="K127">
            <v>2</v>
          </cell>
          <cell r="M127">
            <v>1</v>
          </cell>
          <cell r="N127" t="str">
            <v>이영숙</v>
          </cell>
          <cell r="O127" t="str">
            <v>390220-2017229</v>
          </cell>
        </row>
        <row r="128">
          <cell r="B128" t="str">
            <v>미화</v>
          </cell>
          <cell r="C128">
            <v>1</v>
          </cell>
          <cell r="D128">
            <v>37480</v>
          </cell>
          <cell r="E128">
            <v>1</v>
          </cell>
          <cell r="F128">
            <v>37481</v>
          </cell>
          <cell r="G128">
            <v>0</v>
          </cell>
          <cell r="N128" t="str">
            <v>강상옥</v>
          </cell>
        </row>
        <row r="129">
          <cell r="B129" t="str">
            <v>미화</v>
          </cell>
          <cell r="C129">
            <v>1</v>
          </cell>
          <cell r="D129">
            <v>37482</v>
          </cell>
          <cell r="G129">
            <v>1</v>
          </cell>
          <cell r="H129">
            <v>1</v>
          </cell>
          <cell r="I129">
            <v>1</v>
          </cell>
          <cell r="J129">
            <v>2</v>
          </cell>
          <cell r="K129">
            <v>2</v>
          </cell>
          <cell r="M129">
            <v>1</v>
          </cell>
          <cell r="N129" t="str">
            <v>박청자</v>
          </cell>
          <cell r="O129" t="str">
            <v>421204-2328310</v>
          </cell>
        </row>
        <row r="130">
          <cell r="B130" t="str">
            <v>미화</v>
          </cell>
          <cell r="C130">
            <v>1</v>
          </cell>
          <cell r="D130">
            <v>37493</v>
          </cell>
          <cell r="G130">
            <v>1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M130">
            <v>1</v>
          </cell>
          <cell r="N130" t="str">
            <v>엄용숙</v>
          </cell>
          <cell r="O130" t="str">
            <v>331020-2026013</v>
          </cell>
        </row>
        <row r="131">
          <cell r="B131" t="str">
            <v>미화</v>
          </cell>
          <cell r="C131">
            <v>1</v>
          </cell>
          <cell r="D131">
            <v>37494</v>
          </cell>
          <cell r="G131">
            <v>1</v>
          </cell>
          <cell r="H131">
            <v>1</v>
          </cell>
          <cell r="I131">
            <v>1</v>
          </cell>
          <cell r="J131">
            <v>2</v>
          </cell>
          <cell r="K131">
            <v>2</v>
          </cell>
          <cell r="M131">
            <v>1</v>
          </cell>
          <cell r="N131" t="str">
            <v>신복순</v>
          </cell>
          <cell r="O131" t="str">
            <v>380416-253317</v>
          </cell>
        </row>
        <row r="132">
          <cell r="B132" t="str">
            <v>미화</v>
          </cell>
          <cell r="C132">
            <v>1</v>
          </cell>
          <cell r="D132">
            <v>37494</v>
          </cell>
          <cell r="E132">
            <v>1</v>
          </cell>
          <cell r="F132">
            <v>37495</v>
          </cell>
          <cell r="G132">
            <v>0</v>
          </cell>
          <cell r="N132" t="str">
            <v>이병칠</v>
          </cell>
        </row>
        <row r="133">
          <cell r="B133" t="str">
            <v>미화</v>
          </cell>
          <cell r="C133">
            <v>1</v>
          </cell>
          <cell r="D133">
            <v>37494</v>
          </cell>
          <cell r="G133">
            <v>1</v>
          </cell>
          <cell r="N133" t="str">
            <v>유순임</v>
          </cell>
        </row>
        <row r="134">
          <cell r="B134" t="str">
            <v>미화</v>
          </cell>
          <cell r="C134">
            <v>1</v>
          </cell>
          <cell r="D134">
            <v>37495</v>
          </cell>
          <cell r="G134">
            <v>1</v>
          </cell>
          <cell r="I134">
            <v>1</v>
          </cell>
          <cell r="J134">
            <v>2</v>
          </cell>
          <cell r="K134">
            <v>2</v>
          </cell>
          <cell r="N134" t="str">
            <v>임숙영</v>
          </cell>
          <cell r="O134" t="str">
            <v>340713-2167416</v>
          </cell>
        </row>
        <row r="135">
          <cell r="B135" t="str">
            <v>통신</v>
          </cell>
          <cell r="C135">
            <v>1</v>
          </cell>
          <cell r="D135">
            <v>37469</v>
          </cell>
          <cell r="G135">
            <v>1</v>
          </cell>
          <cell r="H135">
            <v>1</v>
          </cell>
          <cell r="I135">
            <v>1</v>
          </cell>
          <cell r="J135">
            <v>2</v>
          </cell>
          <cell r="K135">
            <v>2</v>
          </cell>
          <cell r="N135" t="str">
            <v>정병관</v>
          </cell>
          <cell r="O135" t="str">
            <v>780707-1074719</v>
          </cell>
        </row>
        <row r="136">
          <cell r="G136">
            <v>0</v>
          </cell>
          <cell r="N136" t="str">
            <v>유순례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5">
          <cell r="B155" t="str">
            <v>미화</v>
          </cell>
          <cell r="D155">
            <v>37480</v>
          </cell>
          <cell r="F155">
            <v>37481</v>
          </cell>
          <cell r="N155" t="str">
            <v>강상옥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차관리"/>
      <sheetName val="공휴일정리"/>
      <sheetName val="base"/>
      <sheetName val="base (2)"/>
      <sheetName val="홍길동"/>
    </sheetNames>
    <sheetDataSet>
      <sheetData sheetId="0" refreshError="1"/>
      <sheetData sheetId="1" refreshError="1">
        <row r="2">
          <cell r="C2">
            <v>41640</v>
          </cell>
        </row>
        <row r="3">
          <cell r="C3">
            <v>41669</v>
          </cell>
        </row>
        <row r="4">
          <cell r="C4">
            <v>41670</v>
          </cell>
        </row>
        <row r="5">
          <cell r="C5">
            <v>41671</v>
          </cell>
        </row>
        <row r="6">
          <cell r="C6">
            <v>41699</v>
          </cell>
        </row>
        <row r="7">
          <cell r="C7">
            <v>41760</v>
          </cell>
        </row>
        <row r="8">
          <cell r="C8">
            <v>41764</v>
          </cell>
        </row>
        <row r="9">
          <cell r="C9">
            <v>41765</v>
          </cell>
        </row>
        <row r="10">
          <cell r="C10">
            <v>41794</v>
          </cell>
        </row>
        <row r="11">
          <cell r="C11">
            <v>41796</v>
          </cell>
        </row>
        <row r="12">
          <cell r="C12">
            <v>41853</v>
          </cell>
        </row>
        <row r="13">
          <cell r="C13">
            <v>41866</v>
          </cell>
        </row>
        <row r="14">
          <cell r="C14">
            <v>41890</v>
          </cell>
        </row>
        <row r="15">
          <cell r="C15">
            <v>41891</v>
          </cell>
        </row>
        <row r="16">
          <cell r="C16">
            <v>41892</v>
          </cell>
        </row>
        <row r="17">
          <cell r="C17">
            <v>41915</v>
          </cell>
        </row>
        <row r="18">
          <cell r="C18">
            <v>41921</v>
          </cell>
        </row>
        <row r="19">
          <cell r="C19">
            <v>41998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Area Program"/>
      <sheetName val="Executive Summary"/>
      <sheetName val="Competitive Market"/>
      <sheetName val="Demand Segmentation"/>
      <sheetName val="GeoMix"/>
      <sheetName val="Rack Rate Year 1"/>
      <sheetName val="Rack Rate Year 2"/>
      <sheetName val="Rate Sheet Year 1"/>
      <sheetName val="Rate Sheet Year 2"/>
      <sheetName val="Discount Analysis"/>
      <sheetName val="Room Type Pricing"/>
      <sheetName val="Payroll Summary"/>
      <sheetName val="Payrates"/>
      <sheetName val="Rooms Payroll"/>
      <sheetName val="Da Luigi Payroll"/>
      <sheetName val="Da Lucia Payroll"/>
      <sheetName val="Rive Payroll"/>
      <sheetName val="Rive East Payroll"/>
      <sheetName val="Forty Two Payroll"/>
      <sheetName val="Banquets Payroll"/>
      <sheetName val="Piano Bar Payroll"/>
      <sheetName val="RoomsService Payroll"/>
      <sheetName val="FB Overhead Payroll"/>
      <sheetName val="Spa Payroll"/>
      <sheetName val="OOD Payroll"/>
      <sheetName val="Overhead Payroll"/>
      <sheetName val="FNB Summary"/>
      <sheetName val="Da Luigi"/>
      <sheetName val="Da Lucia"/>
      <sheetName val="Piano Bar"/>
      <sheetName val="Rive"/>
      <sheetName val="Rive East"/>
      <sheetName val="Room Service"/>
      <sheetName val="Forty Two"/>
      <sheetName val="Mini Bars"/>
      <sheetName val="Banquets"/>
      <sheetName val="Da Luigi Income Statement"/>
      <sheetName val="Da Lucia Income Statement"/>
      <sheetName val="Piano Bar Income Statement"/>
      <sheetName val="Rive Income Statement"/>
      <sheetName val="Rive East Income Statement"/>
      <sheetName val="Room Service Income Statement"/>
      <sheetName val="Forty Two Income Statement"/>
      <sheetName val="Banquets Income Statement"/>
      <sheetName val="MiniBar Income Statement"/>
      <sheetName val="Rooms Division Income Statement"/>
      <sheetName val="F&amp;B Income Statement"/>
      <sheetName val="Other Operated Income Statement"/>
      <sheetName val="Spa Income Statement"/>
      <sheetName val="Telephone"/>
      <sheetName val="Administration"/>
      <sheetName val="Marketing"/>
      <sheetName val="Human Resources"/>
      <sheetName val="POMEC"/>
      <sheetName val="PNL Projection"/>
    </sheetNames>
    <sheetDataSet>
      <sheetData sheetId="0" refreshError="1">
        <row r="7">
          <cell r="B7" t="str">
            <v>Korean Won</v>
          </cell>
        </row>
        <row r="15">
          <cell r="B15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1월"/>
      <sheetName val="BRANDDISTRIBUTION1월"/>
      <sheetName val="dist"/>
      <sheetName val="Netsales"/>
      <sheetName val="Key"/>
      <sheetName val="BM-BS"/>
      <sheetName val="OP-Total"/>
      <sheetName val="SR-Total"/>
      <sheetName val="New-ACC"/>
      <sheetName val="BD-DHL"/>
      <sheetName val="BD-FIN"/>
      <sheetName val="BD-KLL"/>
      <sheetName val="BD-PML"/>
      <sheetName val="SV-DHL"/>
      <sheetName val="SV-FIN"/>
      <sheetName val="SV-KLL"/>
      <sheetName val="SV-PML"/>
      <sheetName val="Payable"/>
      <sheetName val="B-BManager"/>
      <sheetName val="Com-But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2">
          <cell r="E2" t="str">
            <v>Feb.</v>
          </cell>
          <cell r="F2" t="str">
            <v>Jan.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내역"/>
      <sheetName val="근로영수증"/>
      <sheetName val="퇴직영수증"/>
      <sheetName val="commed"/>
    </sheetNames>
    <sheetDataSet>
      <sheetData sheetId="0" refreshError="1">
        <row r="4">
          <cell r="C4" t="str">
            <v>지역</v>
          </cell>
          <cell r="D4" t="str">
            <v>회사명</v>
          </cell>
          <cell r="E4" t="str">
            <v>사업자등록번호</v>
          </cell>
          <cell r="F4" t="str">
            <v>법인등록번호</v>
          </cell>
          <cell r="G4" t="str">
            <v>대표자명</v>
          </cell>
          <cell r="H4" t="str">
            <v>세무서명</v>
          </cell>
          <cell r="I4" t="str">
            <v>사업장주소</v>
          </cell>
        </row>
        <row r="5">
          <cell r="B5">
            <v>1</v>
          </cell>
          <cell r="C5" t="str">
            <v>서울</v>
          </cell>
          <cell r="D5" t="str">
            <v>캐리어㈜</v>
          </cell>
          <cell r="E5" t="str">
            <v>211 - 85 - 18918</v>
          </cell>
          <cell r="F5" t="str">
            <v>110111 - 0413578</v>
          </cell>
          <cell r="G5" t="str">
            <v>토마스.이.데이비스</v>
          </cell>
          <cell r="H5" t="str">
            <v>강 남</v>
          </cell>
          <cell r="I5" t="str">
            <v xml:space="preserve">  서울 강남구 논현동 19-7</v>
          </cell>
        </row>
        <row r="6">
          <cell r="B6">
            <v>2</v>
          </cell>
          <cell r="C6" t="str">
            <v>광주</v>
          </cell>
          <cell r="D6" t="str">
            <v>캐리어㈜</v>
          </cell>
          <cell r="E6" t="str">
            <v>410 - 81 - 08964</v>
          </cell>
          <cell r="F6" t="str">
            <v>110111 - 0413578</v>
          </cell>
          <cell r="G6" t="str">
            <v>토마스.이.데이비스</v>
          </cell>
          <cell r="H6" t="str">
            <v>서광주</v>
          </cell>
          <cell r="I6" t="str">
            <v xml:space="preserve">  광주시 광산구 장덕동 981-11</v>
          </cell>
        </row>
        <row r="7">
          <cell r="B7">
            <v>3</v>
          </cell>
          <cell r="C7" t="str">
            <v>사당</v>
          </cell>
          <cell r="D7" t="str">
            <v>캐리어㈜사당</v>
          </cell>
          <cell r="E7" t="str">
            <v>108 - 85 - 12296</v>
          </cell>
          <cell r="F7" t="str">
            <v>110111 - 0413578</v>
          </cell>
          <cell r="G7" t="str">
            <v>토마스.이.데이비스</v>
          </cell>
          <cell r="H7" t="str">
            <v>동 작</v>
          </cell>
          <cell r="I7" t="str">
            <v xml:space="preserve">  서울 동작구 사당1동 1007-39</v>
          </cell>
        </row>
        <row r="8">
          <cell r="B8">
            <v>4</v>
          </cell>
          <cell r="C8" t="str">
            <v>경기</v>
          </cell>
          <cell r="D8" t="str">
            <v>캐리어㈜경기</v>
          </cell>
          <cell r="E8" t="str">
            <v>124 - 85 - 15505</v>
          </cell>
          <cell r="F8" t="str">
            <v>110111 - 0413578</v>
          </cell>
          <cell r="G8" t="str">
            <v>토마스.이.데이비스</v>
          </cell>
          <cell r="H8" t="str">
            <v>수 원</v>
          </cell>
          <cell r="I8" t="str">
            <v xml:space="preserve">  경기도 수원시 팔달구 인계동 979-6</v>
          </cell>
        </row>
        <row r="9">
          <cell r="B9">
            <v>5</v>
          </cell>
          <cell r="C9" t="str">
            <v>대전</v>
          </cell>
          <cell r="D9" t="str">
            <v>캐리어㈜대전</v>
          </cell>
          <cell r="E9" t="str">
            <v>306 - 85 - 11794</v>
          </cell>
          <cell r="F9" t="str">
            <v>110111 - 0413578</v>
          </cell>
          <cell r="G9" t="str">
            <v>토마스.이.데이비스</v>
          </cell>
          <cell r="H9" t="str">
            <v>동대전</v>
          </cell>
          <cell r="I9" t="str">
            <v xml:space="preserve">  대전시 대덕구 송촌동 292-3</v>
          </cell>
        </row>
        <row r="10">
          <cell r="B10">
            <v>6</v>
          </cell>
          <cell r="C10" t="str">
            <v>대구</v>
          </cell>
          <cell r="D10" t="str">
            <v>캐리어㈜대구</v>
          </cell>
          <cell r="E10" t="str">
            <v>502 - 85 - 12391</v>
          </cell>
          <cell r="F10" t="str">
            <v>110111 - 0413578</v>
          </cell>
          <cell r="G10" t="str">
            <v>토마스.이.데이비스</v>
          </cell>
          <cell r="H10" t="str">
            <v>동대구</v>
          </cell>
          <cell r="I10" t="str">
            <v xml:space="preserve">  대구시 수성구 만촌2동 978-13</v>
          </cell>
        </row>
        <row r="11">
          <cell r="B11">
            <v>7</v>
          </cell>
          <cell r="C11" t="str">
            <v>부산</v>
          </cell>
          <cell r="D11" t="str">
            <v>캐리어㈜부산</v>
          </cell>
          <cell r="E11" t="str">
            <v>604 - 85 - 09343</v>
          </cell>
          <cell r="F11" t="str">
            <v>110111 - 0413578</v>
          </cell>
          <cell r="G11" t="str">
            <v>토마스.이.데이비스</v>
          </cell>
          <cell r="H11" t="str">
            <v>동부산</v>
          </cell>
          <cell r="I11" t="str">
            <v xml:space="preserve">  부산시 동구 초량동 1154-1</v>
          </cell>
        </row>
        <row r="12">
          <cell r="B12">
            <v>8</v>
          </cell>
          <cell r="C12" t="str">
            <v>토탈</v>
          </cell>
          <cell r="D12" t="str">
            <v>캐리어㈜토탈라인</v>
          </cell>
          <cell r="E12" t="str">
            <v>106 - 85 - 11781</v>
          </cell>
          <cell r="F12" t="str">
            <v>110111 - 0413578</v>
          </cell>
          <cell r="G12" t="str">
            <v>토마스.이.데이비스</v>
          </cell>
          <cell r="H12" t="str">
            <v>용 산</v>
          </cell>
          <cell r="I12" t="str">
            <v xml:space="preserve">  서울시 용산구 서계동 82</v>
          </cell>
        </row>
      </sheetData>
      <sheetData sheetId="1" refreshError="1">
        <row r="17">
          <cell r="BD17">
            <v>0</v>
          </cell>
        </row>
        <row r="21">
          <cell r="R21">
            <v>0</v>
          </cell>
        </row>
      </sheetData>
      <sheetData sheetId="2" refreshError="1">
        <row r="7">
          <cell r="I7" t="str">
            <v>(발행자 보고용)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행모듈"/>
      <sheetName val="개정모듈"/>
      <sheetName val="근로소득세2001"/>
      <sheetName val="근로소득세2002~"/>
      <sheetName val="종합소득세99"/>
      <sheetName val="퇴직99~2004"/>
      <sheetName val="연금2001"/>
      <sheetName val="금융소득종합과세"/>
      <sheetName val="계충별(1안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센터"/>
      <sheetName val="세부 증감 내역(장림)"/>
      <sheetName val="세부 증감 내역(부산)"/>
      <sheetName val="세부 증감 내역(양산)"/>
      <sheetName val="Format"/>
      <sheetName val="Header"/>
      <sheetName val="Sheet1"/>
      <sheetName val="RawData"/>
      <sheetName val="Sub3"/>
      <sheetName val="Sub4"/>
      <sheetName val="Sub5"/>
      <sheetName val="Sub6"/>
      <sheetName val="Sub7"/>
      <sheetName val="Sub8"/>
      <sheetName val="Sub9"/>
      <sheetName val="Sub10"/>
      <sheetName val="RawHeader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A2" t="str">
            <v>2005</v>
          </cell>
          <cell r="B2" t="str">
            <v>31201</v>
          </cell>
          <cell r="C2" t="str">
            <v>3PL영업1팀</v>
          </cell>
          <cell r="D2" t="str">
            <v>51400200</v>
          </cell>
          <cell r="E2" t="str">
            <v>3PL배송비-컨설팅소모경비</v>
          </cell>
          <cell r="F2">
            <v>0</v>
          </cell>
        </row>
        <row r="3">
          <cell r="B3" t="str">
            <v>32201</v>
          </cell>
          <cell r="C3" t="str">
            <v>CJ지원팀</v>
          </cell>
          <cell r="D3" t="str">
            <v>51350200</v>
          </cell>
          <cell r="E3" t="str">
            <v>3PL배송비-보관비-보관창고임차료</v>
          </cell>
          <cell r="F3">
            <v>34301900</v>
          </cell>
        </row>
        <row r="4">
          <cell r="B4" t="str">
            <v>32201</v>
          </cell>
          <cell r="C4" t="str">
            <v>CJ지원팀</v>
          </cell>
          <cell r="D4" t="str">
            <v>51400200</v>
          </cell>
          <cell r="E4" t="str">
            <v>3PL배송비-컨설팅소모경비</v>
          </cell>
          <cell r="F4">
            <v>2045488</v>
          </cell>
        </row>
        <row r="5">
          <cell r="B5" t="str">
            <v>32302</v>
          </cell>
          <cell r="C5" t="str">
            <v>서울물류파트</v>
          </cell>
          <cell r="D5" t="str">
            <v>51250600</v>
          </cell>
          <cell r="E5" t="str">
            <v>3PL배송비-센타하역비-물류소모품비</v>
          </cell>
          <cell r="F5">
            <v>612000</v>
          </cell>
        </row>
        <row r="6">
          <cell r="D6" t="str">
            <v>51250700</v>
          </cell>
          <cell r="E6" t="str">
            <v>3PL배송비-센타하역비-물동량성과급</v>
          </cell>
          <cell r="F6">
            <v>93122922</v>
          </cell>
        </row>
        <row r="7">
          <cell r="D7" t="str">
            <v>51250800</v>
          </cell>
          <cell r="E7" t="str">
            <v>3PL배송비-센타하역비-타사파렛트렌탈료</v>
          </cell>
          <cell r="F7">
            <v>0</v>
          </cell>
        </row>
        <row r="8">
          <cell r="D8" t="str">
            <v>51350100</v>
          </cell>
          <cell r="E8" t="str">
            <v>3PL배송비-보관비-분류창고임차료</v>
          </cell>
          <cell r="F8">
            <v>13533890</v>
          </cell>
        </row>
        <row r="9">
          <cell r="B9" t="str">
            <v>32302</v>
          </cell>
          <cell r="C9" t="str">
            <v>서울물류파트</v>
          </cell>
          <cell r="D9" t="str">
            <v>51350200</v>
          </cell>
          <cell r="E9" t="str">
            <v>3PL배송비-보관비-보관창고임차료</v>
          </cell>
          <cell r="F9">
            <v>37975110</v>
          </cell>
        </row>
        <row r="10">
          <cell r="B10" t="str">
            <v>32303</v>
          </cell>
          <cell r="C10" t="str">
            <v>쥴릭서울센터</v>
          </cell>
          <cell r="D10" t="str">
            <v>51250100</v>
          </cell>
          <cell r="E10" t="str">
            <v>3PL배송비-센타하역비-전산관리직인건비</v>
          </cell>
          <cell r="F10">
            <v>0</v>
          </cell>
        </row>
        <row r="11">
          <cell r="D11" t="str">
            <v>51250200</v>
          </cell>
          <cell r="E11" t="str">
            <v>3PL배송비-센타하역비-하역고정직인건비</v>
          </cell>
          <cell r="F11">
            <v>2671770</v>
          </cell>
        </row>
        <row r="12">
          <cell r="D12" t="str">
            <v>51250300</v>
          </cell>
          <cell r="E12" t="str">
            <v>3PL배송비-센타하역비-하역임시직인건비</v>
          </cell>
          <cell r="F12">
            <v>735000</v>
          </cell>
        </row>
        <row r="13">
          <cell r="D13" t="str">
            <v>51250600</v>
          </cell>
          <cell r="E13" t="str">
            <v>3PL배송비-센타하역비-물류소모품비</v>
          </cell>
          <cell r="F13">
            <v>0</v>
          </cell>
        </row>
        <row r="14">
          <cell r="B14" t="str">
            <v>32303</v>
          </cell>
          <cell r="C14" t="str">
            <v>쥴릭서울센터</v>
          </cell>
          <cell r="D14" t="str">
            <v>51350200</v>
          </cell>
          <cell r="E14" t="str">
            <v>3PL배송비-보관비-보관창고임차료</v>
          </cell>
          <cell r="F14">
            <v>8112000</v>
          </cell>
        </row>
        <row r="15">
          <cell r="B15" t="str">
            <v>32304</v>
          </cell>
          <cell r="C15" t="str">
            <v>수원물류파트</v>
          </cell>
          <cell r="D15" t="str">
            <v>51250600</v>
          </cell>
          <cell r="E15" t="str">
            <v>3PL배송비-센타하역비-물류소모품비</v>
          </cell>
          <cell r="F15">
            <v>696000</v>
          </cell>
        </row>
        <row r="16">
          <cell r="D16" t="str">
            <v>51250700</v>
          </cell>
          <cell r="E16" t="str">
            <v>3PL배송비-센타하역비-물동량성과급</v>
          </cell>
          <cell r="F16">
            <v>26181955</v>
          </cell>
        </row>
        <row r="17">
          <cell r="D17" t="str">
            <v>51250800</v>
          </cell>
          <cell r="E17" t="str">
            <v>3PL배송비-센타하역비-타사파렛트렌탈료</v>
          </cell>
          <cell r="F17">
            <v>0</v>
          </cell>
        </row>
        <row r="18">
          <cell r="D18" t="str">
            <v>51251000</v>
          </cell>
          <cell r="E18" t="str">
            <v>3PL배송비-센타하역비-기타</v>
          </cell>
          <cell r="F18">
            <v>150000</v>
          </cell>
        </row>
        <row r="19">
          <cell r="B19" t="str">
            <v>32304</v>
          </cell>
          <cell r="C19" t="str">
            <v>수원물류파트</v>
          </cell>
          <cell r="D19" t="str">
            <v>51600200</v>
          </cell>
          <cell r="E19" t="str">
            <v>3PL배송비-반품비-배송반품운송비</v>
          </cell>
          <cell r="F19">
            <v>0</v>
          </cell>
        </row>
        <row r="20">
          <cell r="B20" t="str">
            <v>32305</v>
          </cell>
          <cell r="C20" t="str">
            <v>KAM센터</v>
          </cell>
          <cell r="D20" t="str">
            <v>51250600</v>
          </cell>
          <cell r="E20" t="str">
            <v>3PL배송비-센타하역비-물류소모품비</v>
          </cell>
          <cell r="F20">
            <v>13441500</v>
          </cell>
        </row>
        <row r="21">
          <cell r="D21" t="str">
            <v>51250700</v>
          </cell>
          <cell r="E21" t="str">
            <v>3PL배송비-센타하역비-물동량성과급</v>
          </cell>
          <cell r="F21">
            <v>273426801</v>
          </cell>
        </row>
        <row r="22">
          <cell r="D22" t="str">
            <v>51250800</v>
          </cell>
          <cell r="E22" t="str">
            <v>3PL배송비-센타하역비-타사파렛트렌탈료</v>
          </cell>
          <cell r="F22">
            <v>0</v>
          </cell>
        </row>
        <row r="23">
          <cell r="D23" t="str">
            <v>51350100</v>
          </cell>
          <cell r="E23" t="str">
            <v>3PL배송비-보관비-분류창고임차료</v>
          </cell>
          <cell r="F23">
            <v>10593699</v>
          </cell>
        </row>
        <row r="24">
          <cell r="D24" t="str">
            <v>51350200</v>
          </cell>
          <cell r="E24" t="str">
            <v>3PL배송비-보관비-보관창고임차료</v>
          </cell>
          <cell r="F24">
            <v>92878951</v>
          </cell>
        </row>
        <row r="25">
          <cell r="B25" t="str">
            <v>32305</v>
          </cell>
          <cell r="C25" t="str">
            <v>KAM센터</v>
          </cell>
          <cell r="D25" t="str">
            <v>51600200</v>
          </cell>
          <cell r="E25" t="str">
            <v>3PL배송비-반품비-배송반품운송비</v>
          </cell>
          <cell r="F25">
            <v>2890000</v>
          </cell>
        </row>
        <row r="26">
          <cell r="B26" t="str">
            <v>32306</v>
          </cell>
          <cell r="C26" t="str">
            <v>수원반품센터</v>
          </cell>
          <cell r="D26" t="str">
            <v>51250100</v>
          </cell>
          <cell r="E26" t="str">
            <v>3PL배송비-센타하역비-전산관리직인건비</v>
          </cell>
          <cell r="F26">
            <v>8559071</v>
          </cell>
        </row>
        <row r="27">
          <cell r="D27" t="str">
            <v>51250200</v>
          </cell>
          <cell r="E27" t="str">
            <v>3PL배송비-센타하역비-하역고정직인건비</v>
          </cell>
          <cell r="F27">
            <v>6580218</v>
          </cell>
        </row>
        <row r="28">
          <cell r="D28" t="str">
            <v>51250300</v>
          </cell>
          <cell r="E28" t="str">
            <v>3PL배송비-센타하역비-하역임시직인건비</v>
          </cell>
          <cell r="F28">
            <v>4807225</v>
          </cell>
        </row>
        <row r="29">
          <cell r="D29" t="str">
            <v>51250400</v>
          </cell>
          <cell r="E29" t="str">
            <v>3PL배송비-센타하역비-지게차사용료</v>
          </cell>
          <cell r="F29">
            <v>1888094</v>
          </cell>
        </row>
        <row r="30">
          <cell r="D30" t="str">
            <v>51250600</v>
          </cell>
          <cell r="E30" t="str">
            <v>3PL배송비-센타하역비-물류소모품비</v>
          </cell>
          <cell r="F30">
            <v>583500</v>
          </cell>
        </row>
        <row r="31">
          <cell r="D31" t="str">
            <v>51300100</v>
          </cell>
          <cell r="E31" t="str">
            <v>3PL배송비-폐기운영비-폐기위탁비용</v>
          </cell>
          <cell r="F31">
            <v>25286120</v>
          </cell>
        </row>
        <row r="32">
          <cell r="D32" t="str">
            <v>51300200</v>
          </cell>
          <cell r="E32" t="str">
            <v>3PL배송비-폐기운영비-폐기인건비</v>
          </cell>
          <cell r="F32">
            <v>14757737</v>
          </cell>
        </row>
        <row r="33">
          <cell r="D33" t="str">
            <v>51300300</v>
          </cell>
          <cell r="E33" t="str">
            <v>3PL배송비-폐기운영비-폐기소모품비</v>
          </cell>
          <cell r="F33">
            <v>0</v>
          </cell>
        </row>
        <row r="34">
          <cell r="D34" t="str">
            <v>51350200</v>
          </cell>
          <cell r="E34" t="str">
            <v>3PL배송비-보관비-보관창고임차료</v>
          </cell>
          <cell r="F34">
            <v>5328350</v>
          </cell>
        </row>
        <row r="35">
          <cell r="D35" t="str">
            <v>51600100</v>
          </cell>
          <cell r="E35" t="str">
            <v>3PL배송비-반품비-간선반품운송비</v>
          </cell>
          <cell r="F35">
            <v>265000</v>
          </cell>
        </row>
        <row r="36">
          <cell r="B36" t="str">
            <v>32306</v>
          </cell>
          <cell r="C36" t="str">
            <v>수원반품센터</v>
          </cell>
          <cell r="D36" t="str">
            <v>51600200</v>
          </cell>
          <cell r="E36" t="str">
            <v>3PL배송비-반품비-배송반품운송비</v>
          </cell>
          <cell r="F36">
            <v>20450348</v>
          </cell>
        </row>
        <row r="37">
          <cell r="B37" t="str">
            <v>32307</v>
          </cell>
          <cell r="C37" t="str">
            <v>F/S수원파트</v>
          </cell>
          <cell r="D37" t="str">
            <v>51250700</v>
          </cell>
          <cell r="E37" t="str">
            <v>3PL배송비-센타하역비-물동량성과급</v>
          </cell>
          <cell r="F37">
            <v>40970157</v>
          </cell>
        </row>
        <row r="38">
          <cell r="B38" t="str">
            <v>32308</v>
          </cell>
          <cell r="C38" t="str">
            <v>여주배송센터</v>
          </cell>
          <cell r="D38" t="str">
            <v>51250100</v>
          </cell>
          <cell r="E38" t="str">
            <v>3PL배송비-센타하역비-전산관리직인건비</v>
          </cell>
          <cell r="F38">
            <v>0</v>
          </cell>
        </row>
        <row r="39">
          <cell r="D39" t="str">
            <v>51250200</v>
          </cell>
          <cell r="E39" t="str">
            <v>3PL배송비-센타하역비-하역고정직인건비</v>
          </cell>
          <cell r="F39">
            <v>0</v>
          </cell>
        </row>
        <row r="40">
          <cell r="D40" t="str">
            <v>51250400</v>
          </cell>
          <cell r="E40" t="str">
            <v>3PL배송비-센타하역비-지게차사용료</v>
          </cell>
          <cell r="F40">
            <v>0</v>
          </cell>
        </row>
        <row r="41">
          <cell r="D41" t="str">
            <v>51350100</v>
          </cell>
          <cell r="E41" t="str">
            <v>3PL배송비-보관비-분류창고임차료</v>
          </cell>
          <cell r="F41">
            <v>0</v>
          </cell>
        </row>
        <row r="42">
          <cell r="B42" t="str">
            <v>32308</v>
          </cell>
          <cell r="C42" t="str">
            <v>여주배송센터</v>
          </cell>
          <cell r="D42" t="str">
            <v>51350200</v>
          </cell>
          <cell r="E42" t="str">
            <v>3PL배송비-보관비-보관창고임차료</v>
          </cell>
          <cell r="F42">
            <v>0</v>
          </cell>
        </row>
        <row r="43">
          <cell r="B43" t="str">
            <v>32309</v>
          </cell>
          <cell r="C43" t="str">
            <v>용인물류파트</v>
          </cell>
          <cell r="D43" t="str">
            <v>51250100</v>
          </cell>
          <cell r="E43" t="str">
            <v>3PL배송비-센타하역비-전산관리직인건비</v>
          </cell>
          <cell r="F43">
            <v>0</v>
          </cell>
        </row>
        <row r="44">
          <cell r="D44" t="str">
            <v>51250200</v>
          </cell>
          <cell r="E44" t="str">
            <v>3PL배송비-센타하역비-하역고정직인건비</v>
          </cell>
          <cell r="F44">
            <v>0</v>
          </cell>
        </row>
        <row r="45">
          <cell r="D45" t="str">
            <v>51250300</v>
          </cell>
          <cell r="E45" t="str">
            <v>3PL배송비-센타하역비-하역임시직인건비</v>
          </cell>
          <cell r="F45">
            <v>0</v>
          </cell>
        </row>
        <row r="46">
          <cell r="D46" t="str">
            <v>51250400</v>
          </cell>
          <cell r="E46" t="str">
            <v>3PL배송비-센타하역비-지게차사용료</v>
          </cell>
          <cell r="F46">
            <v>0</v>
          </cell>
        </row>
        <row r="47">
          <cell r="D47" t="str">
            <v>51250600</v>
          </cell>
          <cell r="E47" t="str">
            <v>3PL배송비-센타하역비-물류소모품비</v>
          </cell>
          <cell r="F47">
            <v>0</v>
          </cell>
        </row>
        <row r="48">
          <cell r="D48" t="str">
            <v>51250700</v>
          </cell>
          <cell r="E48" t="str">
            <v>3PL배송비-센타하역비-물동량성과급</v>
          </cell>
          <cell r="F48">
            <v>0</v>
          </cell>
        </row>
        <row r="49">
          <cell r="D49" t="str">
            <v>51250800</v>
          </cell>
          <cell r="E49" t="str">
            <v>3PL배송비-센타하역비-타사파렛트렌탈료</v>
          </cell>
          <cell r="F49">
            <v>0</v>
          </cell>
        </row>
        <row r="50">
          <cell r="D50" t="str">
            <v>51251000</v>
          </cell>
          <cell r="E50" t="str">
            <v>3PL배송비-센타하역비-기타</v>
          </cell>
          <cell r="F50">
            <v>0</v>
          </cell>
        </row>
        <row r="51">
          <cell r="D51" t="str">
            <v>51350100</v>
          </cell>
          <cell r="E51" t="str">
            <v>3PL배송비-보관비-분류창고임차료</v>
          </cell>
          <cell r="F51">
            <v>0</v>
          </cell>
        </row>
        <row r="52">
          <cell r="D52" t="str">
            <v>51350200</v>
          </cell>
          <cell r="E52" t="str">
            <v>3PL배송비-보관비-보관창고임차료</v>
          </cell>
          <cell r="F52">
            <v>0</v>
          </cell>
        </row>
        <row r="53">
          <cell r="D53" t="str">
            <v>51450200</v>
          </cell>
          <cell r="E53" t="str">
            <v>3PL배송비-유통가공비-하역고정직인건비</v>
          </cell>
          <cell r="F53">
            <v>0</v>
          </cell>
        </row>
        <row r="54">
          <cell r="D54" t="str">
            <v>51450300</v>
          </cell>
          <cell r="E54" t="str">
            <v>3PL배송비-유통가공비-하역임시직인건비</v>
          </cell>
          <cell r="F54">
            <v>0</v>
          </cell>
        </row>
        <row r="55">
          <cell r="B55" t="str">
            <v>32309</v>
          </cell>
          <cell r="C55" t="str">
            <v>용인물류파트</v>
          </cell>
          <cell r="D55" t="str">
            <v>51450600</v>
          </cell>
          <cell r="E55" t="str">
            <v>3PL배송비-유통가공비-물류소모품비</v>
          </cell>
          <cell r="F55">
            <v>0</v>
          </cell>
        </row>
        <row r="56">
          <cell r="B56" t="str">
            <v>32310</v>
          </cell>
          <cell r="C56" t="str">
            <v>원주센터</v>
          </cell>
          <cell r="D56" t="str">
            <v>51250300</v>
          </cell>
          <cell r="E56" t="str">
            <v>3PL배송비-센타하역비-하역임시직인건비</v>
          </cell>
          <cell r="F56">
            <v>998850</v>
          </cell>
        </row>
        <row r="57">
          <cell r="D57" t="str">
            <v>51250600</v>
          </cell>
          <cell r="E57" t="str">
            <v>3PL배송비-센타하역비-물류소모품비</v>
          </cell>
          <cell r="F57">
            <v>204000</v>
          </cell>
        </row>
        <row r="58">
          <cell r="D58" t="str">
            <v>51250700</v>
          </cell>
          <cell r="E58" t="str">
            <v>3PL배송비-센타하역비-물동량성과급</v>
          </cell>
          <cell r="F58">
            <v>24129318</v>
          </cell>
        </row>
        <row r="59">
          <cell r="D59" t="str">
            <v>51250800</v>
          </cell>
          <cell r="E59" t="str">
            <v>3PL배송비-센타하역비-타사파렛트렌탈료</v>
          </cell>
          <cell r="F59">
            <v>0</v>
          </cell>
        </row>
        <row r="60">
          <cell r="D60" t="str">
            <v>51350100</v>
          </cell>
          <cell r="E60" t="str">
            <v>3PL배송비-보관비-분류창고임차료</v>
          </cell>
          <cell r="F60">
            <v>1570023</v>
          </cell>
        </row>
        <row r="61">
          <cell r="D61" t="str">
            <v>51350200</v>
          </cell>
          <cell r="E61" t="str">
            <v>3PL배송비-보관비-보관창고임차료</v>
          </cell>
          <cell r="F61">
            <v>21844977</v>
          </cell>
        </row>
        <row r="62">
          <cell r="B62" t="str">
            <v>32310</v>
          </cell>
          <cell r="C62" t="str">
            <v>원주센터</v>
          </cell>
          <cell r="D62" t="str">
            <v>51600200</v>
          </cell>
          <cell r="E62" t="str">
            <v>3PL배송비-반품비-배송반품운송비</v>
          </cell>
          <cell r="F62">
            <v>450000</v>
          </cell>
        </row>
        <row r="63">
          <cell r="B63" t="str">
            <v>32311</v>
          </cell>
          <cell r="C63" t="str">
            <v>강릉센타</v>
          </cell>
          <cell r="D63" t="str">
            <v>51250600</v>
          </cell>
          <cell r="E63" t="str">
            <v>3PL배송비-센타하역비-물류소모품비</v>
          </cell>
          <cell r="F63">
            <v>0</v>
          </cell>
        </row>
        <row r="64">
          <cell r="D64" t="str">
            <v>51250700</v>
          </cell>
          <cell r="E64" t="str">
            <v>3PL배송비-센타하역비-물동량성과급</v>
          </cell>
          <cell r="F64">
            <v>8400885</v>
          </cell>
        </row>
        <row r="65">
          <cell r="D65" t="str">
            <v>51250800</v>
          </cell>
          <cell r="E65" t="str">
            <v>3PL배송비-센타하역비-타사파렛트렌탈료</v>
          </cell>
          <cell r="F65">
            <v>0</v>
          </cell>
        </row>
        <row r="66">
          <cell r="D66" t="str">
            <v>51350100</v>
          </cell>
          <cell r="E66" t="str">
            <v>3PL배송비-보관비-분류창고임차료</v>
          </cell>
          <cell r="F66">
            <v>618918</v>
          </cell>
        </row>
        <row r="67">
          <cell r="B67" t="str">
            <v>32311</v>
          </cell>
          <cell r="C67" t="str">
            <v>강릉센타</v>
          </cell>
          <cell r="D67" t="str">
            <v>51350200</v>
          </cell>
          <cell r="E67" t="str">
            <v>3PL배송비-보관비-보관창고임차료</v>
          </cell>
          <cell r="F67">
            <v>2101082</v>
          </cell>
        </row>
        <row r="68">
          <cell r="B68" t="str">
            <v>32312</v>
          </cell>
          <cell r="C68" t="str">
            <v>대전물류파트</v>
          </cell>
          <cell r="D68" t="str">
            <v>51250600</v>
          </cell>
          <cell r="E68" t="str">
            <v>3PL배송비-센타하역비-물류소모품비</v>
          </cell>
          <cell r="F68">
            <v>4919818</v>
          </cell>
        </row>
        <row r="69">
          <cell r="D69" t="str">
            <v>51250700</v>
          </cell>
          <cell r="E69" t="str">
            <v>3PL배송비-센타하역비-물동량성과급</v>
          </cell>
          <cell r="F69">
            <v>79738490</v>
          </cell>
        </row>
        <row r="70">
          <cell r="D70" t="str">
            <v>51250800</v>
          </cell>
          <cell r="E70" t="str">
            <v>3PL배송비-센타하역비-타사파렛트렌탈료</v>
          </cell>
          <cell r="F70">
            <v>0</v>
          </cell>
        </row>
        <row r="71">
          <cell r="D71" t="str">
            <v>51350100</v>
          </cell>
          <cell r="E71" t="str">
            <v>3PL배송비-보관비-분류창고임차료</v>
          </cell>
          <cell r="F71">
            <v>5617907</v>
          </cell>
        </row>
        <row r="72">
          <cell r="D72" t="str">
            <v>51350200</v>
          </cell>
          <cell r="E72" t="str">
            <v>3PL배송비-보관비-보관창고임차료</v>
          </cell>
          <cell r="F72">
            <v>52972093</v>
          </cell>
        </row>
        <row r="73">
          <cell r="B73" t="str">
            <v>32312</v>
          </cell>
          <cell r="C73" t="str">
            <v>대전물류파트</v>
          </cell>
          <cell r="D73" t="str">
            <v>51600100</v>
          </cell>
          <cell r="E73" t="str">
            <v>3PL배송비-반품비-간선반품운송비</v>
          </cell>
          <cell r="F73">
            <v>865000</v>
          </cell>
        </row>
        <row r="74">
          <cell r="B74" t="str">
            <v>32313</v>
          </cell>
          <cell r="C74" t="str">
            <v>쥴릭대전센터</v>
          </cell>
          <cell r="D74" t="str">
            <v>51350200</v>
          </cell>
          <cell r="E74" t="str">
            <v>3PL배송비-보관비-보관창고임차료</v>
          </cell>
          <cell r="F74">
            <v>0</v>
          </cell>
        </row>
        <row r="75">
          <cell r="B75" t="str">
            <v>32314</v>
          </cell>
          <cell r="C75" t="str">
            <v>광주물류파트</v>
          </cell>
          <cell r="D75" t="str">
            <v>51250600</v>
          </cell>
          <cell r="E75" t="str">
            <v>3PL배송비-센타하역비-물류소모품비</v>
          </cell>
          <cell r="F75">
            <v>300000</v>
          </cell>
        </row>
        <row r="76">
          <cell r="D76" t="str">
            <v>51250700</v>
          </cell>
          <cell r="E76" t="str">
            <v>3PL배송비-센타하역비-물동량성과급</v>
          </cell>
          <cell r="F76">
            <v>71267100</v>
          </cell>
        </row>
        <row r="77">
          <cell r="D77" t="str">
            <v>51250800</v>
          </cell>
          <cell r="E77" t="str">
            <v>3PL배송비-센타하역비-타사파렛트렌탈료</v>
          </cell>
          <cell r="F77">
            <v>0</v>
          </cell>
        </row>
        <row r="78">
          <cell r="D78" t="str">
            <v>51350100</v>
          </cell>
          <cell r="E78" t="str">
            <v>3PL배송비-보관비-분류창고임차료</v>
          </cell>
          <cell r="F78">
            <v>6092010</v>
          </cell>
        </row>
        <row r="79">
          <cell r="D79" t="str">
            <v>51350200</v>
          </cell>
          <cell r="E79" t="str">
            <v>3PL배송비-보관비-보관창고임차료</v>
          </cell>
          <cell r="F79">
            <v>66771990</v>
          </cell>
        </row>
        <row r="80">
          <cell r="B80" t="str">
            <v>32314</v>
          </cell>
          <cell r="C80" t="str">
            <v>광주물류파트</v>
          </cell>
          <cell r="D80" t="str">
            <v>51600100</v>
          </cell>
          <cell r="E80" t="str">
            <v>3PL배송비-반품비-간선반품운송비</v>
          </cell>
          <cell r="F80">
            <v>540000</v>
          </cell>
        </row>
        <row r="81">
          <cell r="B81" t="str">
            <v>32315</v>
          </cell>
          <cell r="C81" t="str">
            <v>쥴릭광주센터</v>
          </cell>
          <cell r="D81" t="str">
            <v>51250100</v>
          </cell>
          <cell r="E81" t="str">
            <v>3PL배송비-센타하역비-전산관리직인건비</v>
          </cell>
          <cell r="F81">
            <v>1401686</v>
          </cell>
        </row>
        <row r="82">
          <cell r="D82" t="str">
            <v>51250200</v>
          </cell>
          <cell r="E82" t="str">
            <v>3PL배송비-센타하역비-하역고정직인건비</v>
          </cell>
          <cell r="F82">
            <v>1287773</v>
          </cell>
        </row>
        <row r="83">
          <cell r="D83" t="str">
            <v>51250300</v>
          </cell>
          <cell r="E83" t="str">
            <v>3PL배송비-센타하역비-하역임시직인건비</v>
          </cell>
          <cell r="F83">
            <v>0</v>
          </cell>
        </row>
        <row r="84">
          <cell r="B84" t="str">
            <v>32315</v>
          </cell>
          <cell r="C84" t="str">
            <v>쥴릭광주센터</v>
          </cell>
          <cell r="D84" t="str">
            <v>51350200</v>
          </cell>
          <cell r="E84" t="str">
            <v>3PL배송비-보관비-보관창고임차료</v>
          </cell>
          <cell r="F84">
            <v>2106000</v>
          </cell>
        </row>
        <row r="85">
          <cell r="B85" t="str">
            <v>32316</v>
          </cell>
          <cell r="C85" t="str">
            <v>F/S광주센터</v>
          </cell>
          <cell r="D85" t="str">
            <v>51250700</v>
          </cell>
          <cell r="E85" t="str">
            <v>3PL배송비-센타하역비-물동량성과급</v>
          </cell>
          <cell r="F85">
            <v>36005400</v>
          </cell>
        </row>
        <row r="86">
          <cell r="B86" t="str">
            <v>32316</v>
          </cell>
          <cell r="C86" t="str">
            <v>F/S광주센터</v>
          </cell>
          <cell r="D86" t="str">
            <v>51350200</v>
          </cell>
          <cell r="E86" t="str">
            <v>3PL배송비-보관비-보관창고임차료</v>
          </cell>
          <cell r="F86">
            <v>4860000</v>
          </cell>
        </row>
        <row r="87">
          <cell r="B87" t="str">
            <v>32318</v>
          </cell>
          <cell r="C87" t="str">
            <v>경산물류파트</v>
          </cell>
          <cell r="D87" t="str">
            <v>51250100</v>
          </cell>
          <cell r="E87" t="str">
            <v>3PL배송비-센타하역비-전산관리직인건비</v>
          </cell>
          <cell r="F87">
            <v>27050364</v>
          </cell>
        </row>
        <row r="88">
          <cell r="D88" t="str">
            <v>51250200</v>
          </cell>
          <cell r="E88" t="str">
            <v>3PL배송비-센타하역비-하역고정직인건비</v>
          </cell>
          <cell r="F88">
            <v>61913081</v>
          </cell>
        </row>
        <row r="89">
          <cell r="D89" t="str">
            <v>51250300</v>
          </cell>
          <cell r="E89" t="str">
            <v>3PL배송비-센타하역비-하역임시직인건비</v>
          </cell>
          <cell r="F89">
            <v>8233444</v>
          </cell>
        </row>
        <row r="90">
          <cell r="D90" t="str">
            <v>51250400</v>
          </cell>
          <cell r="E90" t="str">
            <v>3PL배송비-센타하역비-지게차사용료</v>
          </cell>
          <cell r="F90">
            <v>8215000</v>
          </cell>
        </row>
        <row r="91">
          <cell r="D91" t="str">
            <v>51250600</v>
          </cell>
          <cell r="E91" t="str">
            <v>3PL배송비-센타하역비-물류소모품비</v>
          </cell>
          <cell r="F91">
            <v>300000</v>
          </cell>
        </row>
        <row r="92">
          <cell r="D92" t="str">
            <v>51250800</v>
          </cell>
          <cell r="E92" t="str">
            <v>3PL배송비-센타하역비-타사파렛트렌탈료</v>
          </cell>
          <cell r="F92">
            <v>0</v>
          </cell>
        </row>
        <row r="93">
          <cell r="D93" t="str">
            <v>51350100</v>
          </cell>
          <cell r="E93" t="str">
            <v>3PL배송비-보관비-분류창고임차료</v>
          </cell>
          <cell r="F93">
            <v>0</v>
          </cell>
        </row>
        <row r="94">
          <cell r="B94" t="str">
            <v>32318</v>
          </cell>
          <cell r="C94" t="str">
            <v>경산물류파트</v>
          </cell>
          <cell r="D94" t="str">
            <v>51350200</v>
          </cell>
          <cell r="E94" t="str">
            <v>3PL배송비-보관비-보관창고임차료</v>
          </cell>
          <cell r="F94">
            <v>1805000</v>
          </cell>
        </row>
        <row r="95">
          <cell r="B95" t="str">
            <v>32319</v>
          </cell>
          <cell r="C95" t="str">
            <v>경산반품센터</v>
          </cell>
          <cell r="D95" t="str">
            <v>51300100</v>
          </cell>
          <cell r="E95" t="str">
            <v>3PL배송비-폐기운영비-폐기위탁비용</v>
          </cell>
          <cell r="F95">
            <v>14501000</v>
          </cell>
        </row>
        <row r="96">
          <cell r="B96" t="str">
            <v>32319</v>
          </cell>
          <cell r="C96" t="str">
            <v>경산반품센터</v>
          </cell>
          <cell r="D96" t="str">
            <v>51300200</v>
          </cell>
          <cell r="E96" t="str">
            <v>3PL배송비-폐기운영비-폐기인건비</v>
          </cell>
          <cell r="F96">
            <v>13240538</v>
          </cell>
        </row>
        <row r="97">
          <cell r="B97" t="str">
            <v>32322</v>
          </cell>
          <cell r="C97" t="str">
            <v>안동센터(폐쇄)</v>
          </cell>
          <cell r="D97" t="str">
            <v>51250800</v>
          </cell>
          <cell r="E97" t="str">
            <v>3PL배송비-센타하역비-타사파렛트렌탈료</v>
          </cell>
          <cell r="F97">
            <v>0</v>
          </cell>
        </row>
        <row r="98">
          <cell r="B98" t="str">
            <v>32323</v>
          </cell>
          <cell r="C98" t="str">
            <v>장림물류파트</v>
          </cell>
          <cell r="D98" t="str">
            <v>51250100</v>
          </cell>
          <cell r="E98" t="str">
            <v>3PL배송비-센타하역비-전산관리직인건비</v>
          </cell>
          <cell r="F98">
            <v>4283473</v>
          </cell>
        </row>
        <row r="99">
          <cell r="D99" t="str">
            <v>51250200</v>
          </cell>
          <cell r="E99" t="str">
            <v>3PL배송비-센타하역비-하역고정직인건비</v>
          </cell>
          <cell r="F99">
            <v>18985889</v>
          </cell>
        </row>
        <row r="100">
          <cell r="D100" t="str">
            <v>51250300</v>
          </cell>
          <cell r="E100" t="str">
            <v>3PL배송비-센타하역비-하역임시직인건비</v>
          </cell>
          <cell r="F100">
            <v>3785038</v>
          </cell>
        </row>
        <row r="101">
          <cell r="D101" t="str">
            <v>51250400</v>
          </cell>
          <cell r="E101" t="str">
            <v>3PL배송비-센타하역비-지게차사용료</v>
          </cell>
          <cell r="F101">
            <v>2180000</v>
          </cell>
        </row>
        <row r="102">
          <cell r="D102" t="str">
            <v>51250500</v>
          </cell>
          <cell r="E102" t="str">
            <v>3PL배송-하역-지게차유류대</v>
          </cell>
          <cell r="F102">
            <v>584184</v>
          </cell>
        </row>
        <row r="103">
          <cell r="D103" t="str">
            <v>51250600</v>
          </cell>
          <cell r="E103" t="str">
            <v>3PL배송비-센타하역비-물류소모품비</v>
          </cell>
          <cell r="F103">
            <v>1875200</v>
          </cell>
        </row>
        <row r="104">
          <cell r="D104" t="str">
            <v>51250700</v>
          </cell>
          <cell r="E104" t="str">
            <v>3PL배송비-센타하역비-물동량성과급</v>
          </cell>
          <cell r="F104">
            <v>81113107</v>
          </cell>
        </row>
        <row r="105">
          <cell r="D105" t="str">
            <v>51250800</v>
          </cell>
          <cell r="E105" t="str">
            <v>3PL배송비-센타하역비-타사파렛트렌탈료</v>
          </cell>
          <cell r="F105">
            <v>0</v>
          </cell>
        </row>
        <row r="106">
          <cell r="D106" t="str">
            <v>51251000</v>
          </cell>
          <cell r="E106" t="str">
            <v>3PL배송비-센타하역비-기타</v>
          </cell>
          <cell r="F106">
            <v>0</v>
          </cell>
        </row>
        <row r="107">
          <cell r="D107" t="str">
            <v>51350100</v>
          </cell>
          <cell r="E107" t="str">
            <v>3PL배송비-보관비-분류창고임차료</v>
          </cell>
          <cell r="F107">
            <v>2874200</v>
          </cell>
        </row>
        <row r="108">
          <cell r="D108" t="str">
            <v>51350200</v>
          </cell>
          <cell r="E108" t="str">
            <v>3PL배송비-보관비-보관창고임차료</v>
          </cell>
          <cell r="F108">
            <v>38185800</v>
          </cell>
        </row>
        <row r="109">
          <cell r="B109" t="str">
            <v>32323</v>
          </cell>
          <cell r="C109" t="str">
            <v>장림물류파트</v>
          </cell>
          <cell r="D109" t="str">
            <v>51600100</v>
          </cell>
          <cell r="E109" t="str">
            <v>3PL배송비-반품비-간선반품운송비</v>
          </cell>
          <cell r="F109">
            <v>1064000</v>
          </cell>
        </row>
        <row r="110">
          <cell r="B110" t="str">
            <v>32324</v>
          </cell>
          <cell r="C110" t="str">
            <v>부산센터</v>
          </cell>
          <cell r="D110" t="str">
            <v>51250600</v>
          </cell>
          <cell r="E110" t="str">
            <v>3PL배송비-센타하역비-물류소모품비</v>
          </cell>
          <cell r="F110">
            <v>54000</v>
          </cell>
        </row>
        <row r="111">
          <cell r="D111" t="str">
            <v>51250700</v>
          </cell>
          <cell r="E111" t="str">
            <v>3PL배송비-센타하역비-물동량성과급</v>
          </cell>
          <cell r="F111">
            <v>11354392</v>
          </cell>
        </row>
        <row r="112">
          <cell r="D112" t="str">
            <v>51250800</v>
          </cell>
          <cell r="E112" t="str">
            <v>3PL배송비-센타하역비-타사파렛트렌탈료</v>
          </cell>
          <cell r="F112">
            <v>0</v>
          </cell>
        </row>
        <row r="113">
          <cell r="D113" t="str">
            <v>51350100</v>
          </cell>
          <cell r="E113" t="str">
            <v>3PL배송비-보관비-분류창고임차료</v>
          </cell>
          <cell r="F113">
            <v>6150000</v>
          </cell>
        </row>
        <row r="114">
          <cell r="B114" t="str">
            <v>32324</v>
          </cell>
          <cell r="C114" t="str">
            <v>부산센터</v>
          </cell>
          <cell r="D114" t="str">
            <v>51350200</v>
          </cell>
          <cell r="E114" t="str">
            <v>3PL배송비-보관비-보관창고임차료</v>
          </cell>
          <cell r="F114">
            <v>8850000</v>
          </cell>
        </row>
        <row r="115">
          <cell r="B115" t="str">
            <v>32325</v>
          </cell>
          <cell r="C115" t="str">
            <v>쥴릭장림센터</v>
          </cell>
          <cell r="D115" t="str">
            <v>51250100</v>
          </cell>
          <cell r="E115" t="str">
            <v>3PL배송비-센타하역비-전산관리직인건비</v>
          </cell>
          <cell r="F115">
            <v>2865462</v>
          </cell>
        </row>
        <row r="116">
          <cell r="B116" t="str">
            <v>32325</v>
          </cell>
          <cell r="C116" t="str">
            <v>쥴릭장림센터</v>
          </cell>
          <cell r="D116" t="str">
            <v>51350200</v>
          </cell>
          <cell r="E116" t="str">
            <v>3PL배송비-보관비-보관창고임차료</v>
          </cell>
          <cell r="F116">
            <v>2040000</v>
          </cell>
        </row>
        <row r="117">
          <cell r="B117" t="str">
            <v>32326</v>
          </cell>
          <cell r="C117" t="str">
            <v>함안물류파트</v>
          </cell>
          <cell r="D117" t="str">
            <v>51250100</v>
          </cell>
          <cell r="E117" t="str">
            <v>3PL배송비-센타하역비-전산관리직인건비</v>
          </cell>
          <cell r="F117">
            <v>1767768</v>
          </cell>
        </row>
        <row r="118">
          <cell r="D118" t="str">
            <v>51250200</v>
          </cell>
          <cell r="E118" t="str">
            <v>3PL배송비-센타하역비-하역고정직인건비</v>
          </cell>
          <cell r="F118">
            <v>7424513</v>
          </cell>
        </row>
        <row r="119">
          <cell r="D119" t="str">
            <v>51250300</v>
          </cell>
          <cell r="E119" t="str">
            <v>3PL배송비-센타하역비-하역임시직인건비</v>
          </cell>
          <cell r="F119">
            <v>163635</v>
          </cell>
        </row>
        <row r="120">
          <cell r="D120" t="str">
            <v>51250400</v>
          </cell>
          <cell r="E120" t="str">
            <v>3PL배송비-센타하역비-지게차사용료</v>
          </cell>
          <cell r="F120">
            <v>680000</v>
          </cell>
        </row>
        <row r="121">
          <cell r="D121" t="str">
            <v>51250600</v>
          </cell>
          <cell r="E121" t="str">
            <v>3PL배송비-센타하역비-물류소모품비</v>
          </cell>
          <cell r="F121">
            <v>0</v>
          </cell>
        </row>
        <row r="122">
          <cell r="D122" t="str">
            <v>51250700</v>
          </cell>
          <cell r="E122" t="str">
            <v>3PL배송비-센타하역비-물동량성과급</v>
          </cell>
          <cell r="F122">
            <v>51693754</v>
          </cell>
        </row>
        <row r="123">
          <cell r="D123" t="str">
            <v>51250800</v>
          </cell>
          <cell r="E123" t="str">
            <v>3PL배송비-센타하역비-타사파렛트렌탈료</v>
          </cell>
          <cell r="F123">
            <v>0</v>
          </cell>
        </row>
        <row r="124">
          <cell r="D124" t="str">
            <v>51251000</v>
          </cell>
          <cell r="E124" t="str">
            <v>3PL배송비-센타하역비-기타</v>
          </cell>
          <cell r="F124">
            <v>2718300</v>
          </cell>
        </row>
        <row r="125">
          <cell r="D125" t="str">
            <v>51350100</v>
          </cell>
          <cell r="E125" t="str">
            <v>3PL배송비-보관비-분류창고임차료</v>
          </cell>
          <cell r="F125">
            <v>904275</v>
          </cell>
        </row>
        <row r="126">
          <cell r="D126" t="str">
            <v>51350200</v>
          </cell>
          <cell r="E126" t="str">
            <v>3PL배송비-보관비-보관창고임차료</v>
          </cell>
          <cell r="F126">
            <v>17181225</v>
          </cell>
        </row>
        <row r="127">
          <cell r="D127" t="str">
            <v>51600100</v>
          </cell>
          <cell r="E127" t="str">
            <v>3PL배송비-반품비-간선반품운송비</v>
          </cell>
          <cell r="F127">
            <v>4152700</v>
          </cell>
        </row>
        <row r="128">
          <cell r="B128" t="str">
            <v>32326</v>
          </cell>
          <cell r="C128" t="str">
            <v>함안물류파트</v>
          </cell>
          <cell r="D128" t="str">
            <v>51600200</v>
          </cell>
          <cell r="E128" t="str">
            <v>3PL배송비-반품비-배송반품운송비</v>
          </cell>
          <cell r="F128">
            <v>1393400</v>
          </cell>
        </row>
        <row r="129">
          <cell r="B129" t="str">
            <v>32327</v>
          </cell>
          <cell r="C129" t="str">
            <v>농협센터</v>
          </cell>
          <cell r="D129" t="str">
            <v>51250700</v>
          </cell>
          <cell r="E129" t="str">
            <v>3PL배송비-센타하역비-물동량성과급</v>
          </cell>
          <cell r="F129">
            <v>53191804</v>
          </cell>
        </row>
        <row r="130">
          <cell r="D130" t="str">
            <v>51251000</v>
          </cell>
          <cell r="E130" t="str">
            <v>3PL배송비-센타하역비-기타</v>
          </cell>
          <cell r="F130">
            <v>919000</v>
          </cell>
        </row>
        <row r="131">
          <cell r="B131" t="str">
            <v>32327</v>
          </cell>
          <cell r="C131" t="str">
            <v>농협센터</v>
          </cell>
          <cell r="D131" t="str">
            <v>51350200</v>
          </cell>
          <cell r="E131" t="str">
            <v>3PL배송비-보관비-보관창고임차료</v>
          </cell>
          <cell r="F131">
            <v>25816500</v>
          </cell>
        </row>
        <row r="132">
          <cell r="B132" t="str">
            <v>32328</v>
          </cell>
          <cell r="C132" t="str">
            <v>제주센터</v>
          </cell>
          <cell r="D132" t="str">
            <v>51250100</v>
          </cell>
          <cell r="E132" t="str">
            <v>3PL배송비-센타하역비-전산관리직인건비</v>
          </cell>
          <cell r="F132">
            <v>1648230</v>
          </cell>
        </row>
        <row r="133">
          <cell r="D133" t="str">
            <v>51250600</v>
          </cell>
          <cell r="E133" t="str">
            <v>3PL배송비-센타하역비-물류소모품비</v>
          </cell>
          <cell r="F133">
            <v>857000</v>
          </cell>
        </row>
        <row r="134">
          <cell r="D134" t="str">
            <v>51250700</v>
          </cell>
          <cell r="E134" t="str">
            <v>3PL배송비-센타하역비-물동량성과급</v>
          </cell>
          <cell r="F134">
            <v>17251872</v>
          </cell>
        </row>
        <row r="135">
          <cell r="D135" t="str">
            <v>51250800</v>
          </cell>
          <cell r="E135" t="str">
            <v>3PL배송비-센타하역비-타사파렛트렌탈료</v>
          </cell>
          <cell r="F135">
            <v>0</v>
          </cell>
        </row>
        <row r="136">
          <cell r="D136" t="str">
            <v>51350200</v>
          </cell>
          <cell r="E136" t="str">
            <v>3PL배송비-보관비-보관창고임차료</v>
          </cell>
          <cell r="F136">
            <v>15934000</v>
          </cell>
        </row>
        <row r="137">
          <cell r="B137" t="str">
            <v>32328</v>
          </cell>
          <cell r="C137" t="str">
            <v>제주센터</v>
          </cell>
          <cell r="D137" t="str">
            <v>51600100</v>
          </cell>
          <cell r="E137" t="str">
            <v>3PL배송비-반품비-간선반품운송비</v>
          </cell>
          <cell r="F137">
            <v>61600</v>
          </cell>
        </row>
        <row r="138">
          <cell r="B138" t="str">
            <v>32329</v>
          </cell>
          <cell r="C138" t="str">
            <v>목우촌성수센터</v>
          </cell>
          <cell r="D138" t="str">
            <v>51250100</v>
          </cell>
          <cell r="E138" t="str">
            <v>3PL배송비-센타하역비-전산관리직인건비</v>
          </cell>
          <cell r="F138">
            <v>12230258</v>
          </cell>
        </row>
        <row r="139">
          <cell r="D139" t="str">
            <v>51250200</v>
          </cell>
          <cell r="E139" t="str">
            <v>3PL배송비-센타하역비-하역고정직인건비</v>
          </cell>
          <cell r="F139">
            <v>17574395</v>
          </cell>
        </row>
        <row r="140">
          <cell r="D140" t="str">
            <v>51250400</v>
          </cell>
          <cell r="E140" t="str">
            <v>3PL배송비-센타하역비-지게차사용료</v>
          </cell>
          <cell r="F140">
            <v>2000000</v>
          </cell>
        </row>
        <row r="141">
          <cell r="D141" t="str">
            <v>51250600</v>
          </cell>
          <cell r="E141" t="str">
            <v>3PL배송비-센타하역비-물류소모품비</v>
          </cell>
          <cell r="F141">
            <v>835000</v>
          </cell>
        </row>
        <row r="142">
          <cell r="B142" t="str">
            <v>32329</v>
          </cell>
          <cell r="C142" t="str">
            <v>목우촌성수센터</v>
          </cell>
          <cell r="D142" t="str">
            <v>51250700</v>
          </cell>
          <cell r="E142" t="str">
            <v>3PL배송비-센타하역비-물동량성과급</v>
          </cell>
          <cell r="F142">
            <v>0</v>
          </cell>
        </row>
        <row r="143">
          <cell r="B143" t="str">
            <v>32330</v>
          </cell>
          <cell r="C143" t="str">
            <v>고촌센터</v>
          </cell>
          <cell r="D143" t="str">
            <v>51250600</v>
          </cell>
          <cell r="E143" t="str">
            <v>3PL배송비-센타하역비-물류소모품비</v>
          </cell>
          <cell r="F143">
            <v>12137400</v>
          </cell>
        </row>
        <row r="144">
          <cell r="D144" t="str">
            <v>51250700</v>
          </cell>
          <cell r="E144" t="str">
            <v>3PL배송비-센타하역비-물동량성과급</v>
          </cell>
          <cell r="F144">
            <v>84291178</v>
          </cell>
        </row>
        <row r="145">
          <cell r="D145" t="str">
            <v>51250800</v>
          </cell>
          <cell r="E145" t="str">
            <v>3PL배송비-센타하역비-타사파렛트렌탈료</v>
          </cell>
          <cell r="F145">
            <v>0</v>
          </cell>
        </row>
        <row r="146">
          <cell r="D146" t="str">
            <v>51350100</v>
          </cell>
          <cell r="E146" t="str">
            <v>3PL배송비-보관비-분류창고임차료</v>
          </cell>
          <cell r="F146">
            <v>0</v>
          </cell>
        </row>
        <row r="147">
          <cell r="B147" t="str">
            <v>32330</v>
          </cell>
          <cell r="C147" t="str">
            <v>고촌센터</v>
          </cell>
          <cell r="D147" t="str">
            <v>51350200</v>
          </cell>
          <cell r="E147" t="str">
            <v>3PL배송비-보관비-보관창고임차료</v>
          </cell>
          <cell r="F147">
            <v>0</v>
          </cell>
        </row>
        <row r="148">
          <cell r="B148" t="str">
            <v>32331</v>
          </cell>
          <cell r="C148" t="str">
            <v>동아오산센터</v>
          </cell>
          <cell r="D148" t="str">
            <v>51250100</v>
          </cell>
          <cell r="E148" t="str">
            <v>3PL배송비-센타하역비-전산관리직인건비</v>
          </cell>
          <cell r="F148">
            <v>3862276</v>
          </cell>
        </row>
        <row r="149">
          <cell r="D149" t="str">
            <v>51250200</v>
          </cell>
          <cell r="E149" t="str">
            <v>3PL배송비-센타하역비-하역고정직인건비</v>
          </cell>
          <cell r="F149">
            <v>11219712</v>
          </cell>
        </row>
        <row r="150">
          <cell r="D150" t="str">
            <v>51250300</v>
          </cell>
          <cell r="E150" t="str">
            <v>3PL배송비-센타하역비-하역임시직인건비</v>
          </cell>
          <cell r="F150">
            <v>1055310</v>
          </cell>
        </row>
        <row r="151">
          <cell r="D151" t="str">
            <v>51250400</v>
          </cell>
          <cell r="E151" t="str">
            <v>3PL배송비-센타하역비-지게차사용료</v>
          </cell>
          <cell r="F151">
            <v>2000000</v>
          </cell>
        </row>
        <row r="152">
          <cell r="D152" t="str">
            <v>51250600</v>
          </cell>
          <cell r="E152" t="str">
            <v>3PL배송비-센타하역비-물류소모품비</v>
          </cell>
          <cell r="F152">
            <v>0</v>
          </cell>
        </row>
        <row r="153">
          <cell r="B153" t="str">
            <v>32331</v>
          </cell>
          <cell r="C153" t="str">
            <v>동아오산센터</v>
          </cell>
          <cell r="D153" t="str">
            <v>51250700</v>
          </cell>
          <cell r="E153" t="str">
            <v>3PL배송비-센타하역비-물동량성과급</v>
          </cell>
          <cell r="F153">
            <v>0</v>
          </cell>
        </row>
        <row r="154">
          <cell r="B154" t="str">
            <v>32332</v>
          </cell>
          <cell r="C154" t="str">
            <v>쥴릭오산센터</v>
          </cell>
          <cell r="D154" t="str">
            <v>51250100</v>
          </cell>
          <cell r="E154" t="str">
            <v>3PL배송비-센타하역비-전산관리직인건비</v>
          </cell>
          <cell r="F154">
            <v>3666806</v>
          </cell>
        </row>
        <row r="155">
          <cell r="D155" t="str">
            <v>51250200</v>
          </cell>
          <cell r="E155" t="str">
            <v>3PL배송비-센타하역비-하역고정직인건비</v>
          </cell>
          <cell r="F155">
            <v>13731417</v>
          </cell>
        </row>
        <row r="156">
          <cell r="D156" t="str">
            <v>51250300</v>
          </cell>
          <cell r="E156" t="str">
            <v>3PL배송비-센타하역비-하역임시직인건비</v>
          </cell>
          <cell r="F156">
            <v>539100</v>
          </cell>
        </row>
        <row r="157">
          <cell r="B157" t="str">
            <v>32332</v>
          </cell>
          <cell r="C157" t="str">
            <v>쥴릭오산센터</v>
          </cell>
          <cell r="D157" t="str">
            <v>51250600</v>
          </cell>
          <cell r="E157" t="str">
            <v>3PL배송비-센타하역비-물류소모품비</v>
          </cell>
          <cell r="F157">
            <v>540000</v>
          </cell>
        </row>
        <row r="158">
          <cell r="B158" t="str">
            <v>32333</v>
          </cell>
          <cell r="C158" t="str">
            <v>F/S인천센터</v>
          </cell>
          <cell r="D158" t="str">
            <v>51250700</v>
          </cell>
          <cell r="E158" t="str">
            <v>3PL배송비-센타하역비-물동량성과급</v>
          </cell>
          <cell r="F158">
            <v>40469842</v>
          </cell>
        </row>
        <row r="159">
          <cell r="B159" t="str">
            <v>32334</v>
          </cell>
          <cell r="C159" t="str">
            <v>화승양지센터</v>
          </cell>
          <cell r="D159" t="str">
            <v>51250400</v>
          </cell>
          <cell r="E159" t="str">
            <v>3PL배송비-센타하역비-지게차사용료</v>
          </cell>
          <cell r="F159">
            <v>0</v>
          </cell>
        </row>
        <row r="160">
          <cell r="D160" t="str">
            <v>51350200</v>
          </cell>
          <cell r="E160" t="str">
            <v>3PL배송비-보관비-보관창고임차료</v>
          </cell>
          <cell r="F160">
            <v>60761562</v>
          </cell>
        </row>
        <row r="161">
          <cell r="D161" t="str">
            <v>51450100</v>
          </cell>
          <cell r="E161" t="str">
            <v>3PL배송비-유통가공비-전산관리직인건비</v>
          </cell>
          <cell r="F161">
            <v>11978615</v>
          </cell>
        </row>
        <row r="162">
          <cell r="D162" t="str">
            <v>51450200</v>
          </cell>
          <cell r="E162" t="str">
            <v>3PL배송비-유통가공비-하역고정직인건비</v>
          </cell>
          <cell r="F162">
            <v>53197264</v>
          </cell>
        </row>
        <row r="163">
          <cell r="D163" t="str">
            <v>51450300</v>
          </cell>
          <cell r="E163" t="str">
            <v>3PL배송비-유통가공비-하역임시직인건비</v>
          </cell>
          <cell r="F163">
            <v>24096540</v>
          </cell>
        </row>
        <row r="164">
          <cell r="D164" t="str">
            <v>51450400</v>
          </cell>
          <cell r="E164" t="str">
            <v>3PL배송비-유통가공비-지게차사용료</v>
          </cell>
          <cell r="F164">
            <v>3720000</v>
          </cell>
        </row>
        <row r="165">
          <cell r="D165" t="str">
            <v>51450600</v>
          </cell>
          <cell r="E165" t="str">
            <v>3PL배송비-유통가공비-물류소모품비</v>
          </cell>
          <cell r="F165">
            <v>1463000</v>
          </cell>
        </row>
        <row r="166">
          <cell r="B166" t="str">
            <v>32334</v>
          </cell>
          <cell r="C166" t="str">
            <v>화승양지센터</v>
          </cell>
          <cell r="D166" t="str">
            <v>51600100</v>
          </cell>
          <cell r="E166" t="str">
            <v>3PL배송비-반품비-간선반품운송비</v>
          </cell>
          <cell r="F166">
            <v>950000</v>
          </cell>
        </row>
        <row r="167">
          <cell r="B167" t="str">
            <v>32335</v>
          </cell>
          <cell r="C167" t="str">
            <v>김포유통가공센터</v>
          </cell>
          <cell r="D167" t="str">
            <v>51250400</v>
          </cell>
          <cell r="E167" t="str">
            <v>3PL배송비-센타하역비-지게차사용료</v>
          </cell>
          <cell r="F167">
            <v>276904</v>
          </cell>
        </row>
        <row r="168">
          <cell r="D168" t="str">
            <v>51250800</v>
          </cell>
          <cell r="E168" t="str">
            <v>3PL배송비-센타하역비-타사파렛트렌탈료</v>
          </cell>
          <cell r="F168">
            <v>0</v>
          </cell>
        </row>
        <row r="169">
          <cell r="D169" t="str">
            <v>51450100</v>
          </cell>
          <cell r="E169" t="str">
            <v>3PL배송비-유통가공비-전산관리직인건비</v>
          </cell>
          <cell r="F169">
            <v>12608065</v>
          </cell>
        </row>
        <row r="170">
          <cell r="D170" t="str">
            <v>51450200</v>
          </cell>
          <cell r="E170" t="str">
            <v>3PL배송비-유통가공비-하역고정직인건비</v>
          </cell>
          <cell r="F170">
            <v>12314094</v>
          </cell>
        </row>
        <row r="171">
          <cell r="D171" t="str">
            <v>51450300</v>
          </cell>
          <cell r="E171" t="str">
            <v>3PL배송비-유통가공비-하역임시직인건비</v>
          </cell>
          <cell r="F171">
            <v>50733390</v>
          </cell>
        </row>
        <row r="172">
          <cell r="D172" t="str">
            <v>51450400</v>
          </cell>
          <cell r="E172" t="str">
            <v>3PL배송비-유통가공비-지게차사용료</v>
          </cell>
          <cell r="F172">
            <v>3290000</v>
          </cell>
        </row>
        <row r="173">
          <cell r="B173" t="str">
            <v>32335</v>
          </cell>
          <cell r="C173" t="str">
            <v>김포유통가공센터</v>
          </cell>
          <cell r="D173" t="str">
            <v>51450600</v>
          </cell>
          <cell r="E173" t="str">
            <v>3PL배송비-유통가공비-물류소모품비</v>
          </cell>
          <cell r="F173">
            <v>4350591</v>
          </cell>
        </row>
        <row r="174">
          <cell r="B174" t="str">
            <v>32336</v>
          </cell>
          <cell r="C174" t="str">
            <v>신성용인센터</v>
          </cell>
          <cell r="D174" t="str">
            <v>51250400</v>
          </cell>
          <cell r="E174" t="str">
            <v>3PL배송비-센타하역비-지게차사용료</v>
          </cell>
          <cell r="F174">
            <v>1500000</v>
          </cell>
        </row>
        <row r="175">
          <cell r="D175" t="str">
            <v>51251000</v>
          </cell>
          <cell r="E175" t="str">
            <v>3PL배송비-센타하역비-기타</v>
          </cell>
          <cell r="F175">
            <v>67815900</v>
          </cell>
        </row>
        <row r="176">
          <cell r="D176" t="str">
            <v>51350200</v>
          </cell>
          <cell r="E176" t="str">
            <v>3PL배송비-보관비-보관창고임차료</v>
          </cell>
          <cell r="F176">
            <v>51177202</v>
          </cell>
        </row>
        <row r="177">
          <cell r="B177" t="str">
            <v>32336</v>
          </cell>
          <cell r="C177" t="str">
            <v>신성용인센터</v>
          </cell>
          <cell r="D177" t="str">
            <v>51600100</v>
          </cell>
          <cell r="E177" t="str">
            <v>3PL배송비-반품비-간선반품운송비</v>
          </cell>
          <cell r="F177">
            <v>0</v>
          </cell>
        </row>
        <row r="178">
          <cell r="B178" t="str">
            <v>32337</v>
          </cell>
          <cell r="C178" t="str">
            <v>부곡센터</v>
          </cell>
          <cell r="D178" t="str">
            <v>51250100</v>
          </cell>
          <cell r="E178" t="str">
            <v>3PL배송비-센타하역비-전산관리직인건비</v>
          </cell>
          <cell r="F178">
            <v>3491653</v>
          </cell>
        </row>
        <row r="179">
          <cell r="D179" t="str">
            <v>51250200</v>
          </cell>
          <cell r="E179" t="str">
            <v>3PL배송비-센타하역비-하역고정직인건비</v>
          </cell>
          <cell r="F179">
            <v>8413046</v>
          </cell>
        </row>
        <row r="180">
          <cell r="D180" t="str">
            <v>51250300</v>
          </cell>
          <cell r="E180" t="str">
            <v>3PL배송비-센타하역비-하역임시직인건비</v>
          </cell>
          <cell r="F180">
            <v>652500</v>
          </cell>
        </row>
        <row r="181">
          <cell r="D181" t="str">
            <v>51250400</v>
          </cell>
          <cell r="E181" t="str">
            <v>3PL배송비-센타하역비-지게차사용료</v>
          </cell>
          <cell r="F181">
            <v>0</v>
          </cell>
        </row>
        <row r="182">
          <cell r="D182" t="str">
            <v>51250600</v>
          </cell>
          <cell r="E182" t="str">
            <v>3PL배송비-센타하역비-물류소모품비</v>
          </cell>
          <cell r="F182">
            <v>0</v>
          </cell>
        </row>
        <row r="183">
          <cell r="D183" t="str">
            <v>51250800</v>
          </cell>
          <cell r="E183" t="str">
            <v>3PL배송비-센타하역비-타사파렛트렌탈료</v>
          </cell>
          <cell r="F183">
            <v>0</v>
          </cell>
        </row>
        <row r="184">
          <cell r="D184" t="str">
            <v>51251000</v>
          </cell>
          <cell r="E184" t="str">
            <v>3PL배송비-센타하역비-기타</v>
          </cell>
          <cell r="F184">
            <v>0</v>
          </cell>
        </row>
        <row r="185">
          <cell r="B185" t="str">
            <v>32337</v>
          </cell>
          <cell r="C185" t="str">
            <v>부곡센터</v>
          </cell>
          <cell r="D185" t="str">
            <v>51350200</v>
          </cell>
          <cell r="E185" t="str">
            <v>3PL배송비-보관비-보관창고임차료</v>
          </cell>
          <cell r="F185">
            <v>29312649</v>
          </cell>
        </row>
        <row r="186">
          <cell r="B186" t="str">
            <v>32338</v>
          </cell>
          <cell r="C186" t="str">
            <v>F/S양산센터</v>
          </cell>
          <cell r="D186" t="str">
            <v>51250700</v>
          </cell>
          <cell r="E186" t="str">
            <v>3PL배송비-센타하역비-물동량성과급</v>
          </cell>
          <cell r="F186">
            <v>40893578</v>
          </cell>
        </row>
        <row r="187">
          <cell r="B187" t="str">
            <v>32339</v>
          </cell>
          <cell r="C187" t="str">
            <v>양지물류파트</v>
          </cell>
          <cell r="D187" t="str">
            <v>51250100</v>
          </cell>
          <cell r="E187" t="str">
            <v>3PL배송비-센타하역비-전산관리직인건비</v>
          </cell>
          <cell r="F187">
            <v>24529184</v>
          </cell>
        </row>
        <row r="188">
          <cell r="D188" t="str">
            <v>51250200</v>
          </cell>
          <cell r="E188" t="str">
            <v>3PL배송비-센타하역비-하역고정직인건비</v>
          </cell>
          <cell r="F188">
            <v>42257452</v>
          </cell>
        </row>
        <row r="189">
          <cell r="D189" t="str">
            <v>51250300</v>
          </cell>
          <cell r="E189" t="str">
            <v>3PL배송비-센타하역비-하역임시직인건비</v>
          </cell>
          <cell r="F189">
            <v>33635500</v>
          </cell>
        </row>
        <row r="190">
          <cell r="D190" t="str">
            <v>51250400</v>
          </cell>
          <cell r="E190" t="str">
            <v>3PL배송비-센타하역비-지게차사용료</v>
          </cell>
          <cell r="F190">
            <v>8060000</v>
          </cell>
        </row>
        <row r="191">
          <cell r="D191" t="str">
            <v>51250600</v>
          </cell>
          <cell r="E191" t="str">
            <v>3PL배송비-센타하역비-물류소모품비</v>
          </cell>
          <cell r="F191">
            <v>2099500</v>
          </cell>
        </row>
        <row r="192">
          <cell r="D192" t="str">
            <v>51250700</v>
          </cell>
          <cell r="E192" t="str">
            <v>3PL배송비-센타하역비-물동량성과급</v>
          </cell>
          <cell r="F192">
            <v>0</v>
          </cell>
        </row>
        <row r="193">
          <cell r="D193" t="str">
            <v>51250800</v>
          </cell>
          <cell r="E193" t="str">
            <v>3PL배송비-센타하역비-타사파렛트렌탈료</v>
          </cell>
          <cell r="F193">
            <v>4170834</v>
          </cell>
        </row>
        <row r="194">
          <cell r="D194" t="str">
            <v>51350100</v>
          </cell>
          <cell r="E194" t="str">
            <v>3PL배송비-보관비-분류창고임차료</v>
          </cell>
          <cell r="F194">
            <v>6369639</v>
          </cell>
        </row>
        <row r="195">
          <cell r="D195" t="str">
            <v>51350200</v>
          </cell>
          <cell r="E195" t="str">
            <v>3PL배송비-보관비-보관창고임차료</v>
          </cell>
          <cell r="F195">
            <v>101630361</v>
          </cell>
        </row>
        <row r="196">
          <cell r="D196" t="str">
            <v>51450100</v>
          </cell>
          <cell r="E196" t="str">
            <v>3PL배송비-유통가공비-전산관리직인건비</v>
          </cell>
          <cell r="F196">
            <v>3637602</v>
          </cell>
        </row>
        <row r="197">
          <cell r="D197" t="str">
            <v>51450200</v>
          </cell>
          <cell r="E197" t="str">
            <v>3PL배송비-유통가공비-하역고정직인건비</v>
          </cell>
          <cell r="F197">
            <v>18839474</v>
          </cell>
        </row>
        <row r="198">
          <cell r="D198" t="str">
            <v>51450300</v>
          </cell>
          <cell r="E198" t="str">
            <v>3PL배송비-유통가공비-하역임시직인건비</v>
          </cell>
          <cell r="F198">
            <v>8035690</v>
          </cell>
        </row>
        <row r="199">
          <cell r="D199" t="str">
            <v>51450400</v>
          </cell>
          <cell r="E199" t="str">
            <v>3PL배송비-유통가공비-지게차사용료</v>
          </cell>
          <cell r="F199">
            <v>675000</v>
          </cell>
        </row>
        <row r="200">
          <cell r="D200" t="str">
            <v>51450600</v>
          </cell>
          <cell r="E200" t="str">
            <v>3PL배송비-유통가공비-물류소모품비</v>
          </cell>
          <cell r="F200">
            <v>3508000</v>
          </cell>
        </row>
        <row r="201">
          <cell r="D201" t="str">
            <v>51450800</v>
          </cell>
          <cell r="E201" t="str">
            <v>3PL배송비-유통가공비-외주가공비</v>
          </cell>
          <cell r="F201">
            <v>0</v>
          </cell>
        </row>
        <row r="202">
          <cell r="D202" t="str">
            <v>51459900</v>
          </cell>
          <cell r="E202" t="str">
            <v>3PL배송비-유통가공비-기타</v>
          </cell>
          <cell r="F202">
            <v>0</v>
          </cell>
        </row>
        <row r="203">
          <cell r="B203" t="str">
            <v>32339</v>
          </cell>
          <cell r="C203" t="str">
            <v>양지물류파트</v>
          </cell>
          <cell r="D203" t="str">
            <v>51600100</v>
          </cell>
          <cell r="E203" t="str">
            <v>3PL배송비-반품비-간선반품운송비</v>
          </cell>
          <cell r="F203">
            <v>3326100</v>
          </cell>
        </row>
        <row r="204">
          <cell r="B204" t="str">
            <v>32340</v>
          </cell>
          <cell r="C204" t="str">
            <v>냉동배송센터</v>
          </cell>
          <cell r="D204" t="str">
            <v>51250100</v>
          </cell>
          <cell r="E204" t="str">
            <v>3PL배송비-센타하역비-전산관리직인건비</v>
          </cell>
          <cell r="F204">
            <v>9156899</v>
          </cell>
        </row>
        <row r="205">
          <cell r="D205" t="str">
            <v>51250200</v>
          </cell>
          <cell r="E205" t="str">
            <v>3PL배송비-센타하역비-하역고정직인건비</v>
          </cell>
          <cell r="F205">
            <v>14493311</v>
          </cell>
        </row>
        <row r="206">
          <cell r="D206" t="str">
            <v>51250800</v>
          </cell>
          <cell r="E206" t="str">
            <v>3PL배송비-센타하역비-타사파렛트렌탈료</v>
          </cell>
          <cell r="F206">
            <v>100000</v>
          </cell>
        </row>
        <row r="207">
          <cell r="D207" t="str">
            <v>51251000</v>
          </cell>
          <cell r="E207" t="str">
            <v>3PL배송비-센타하역비-기타</v>
          </cell>
          <cell r="F207">
            <v>4715400</v>
          </cell>
        </row>
        <row r="208">
          <cell r="B208" t="str">
            <v>32340</v>
          </cell>
          <cell r="C208" t="str">
            <v>냉동배송센터</v>
          </cell>
          <cell r="D208" t="str">
            <v>51350200</v>
          </cell>
          <cell r="E208" t="str">
            <v>3PL배송비-보관비-보관창고임차료</v>
          </cell>
          <cell r="F208">
            <v>4200000</v>
          </cell>
        </row>
        <row r="209">
          <cell r="B209" t="str">
            <v>32342</v>
          </cell>
          <cell r="C209" t="str">
            <v>1본부 운영1팀</v>
          </cell>
          <cell r="D209" t="str">
            <v>51250100</v>
          </cell>
          <cell r="E209" t="str">
            <v>3PL배송비-센타하역비-전산관리직인건비</v>
          </cell>
          <cell r="F209">
            <v>0</v>
          </cell>
        </row>
        <row r="210">
          <cell r="D210" t="str">
            <v>51250200</v>
          </cell>
          <cell r="E210" t="str">
            <v>3PL배송비-센타하역비-하역고정직인건비</v>
          </cell>
          <cell r="F210">
            <v>24136465</v>
          </cell>
        </row>
        <row r="211">
          <cell r="D211" t="str">
            <v>51250600</v>
          </cell>
          <cell r="E211" t="str">
            <v>3PL배송비-센타하역비-물류소모품비</v>
          </cell>
          <cell r="F211">
            <v>0</v>
          </cell>
        </row>
        <row r="212">
          <cell r="D212" t="str">
            <v>51250800</v>
          </cell>
          <cell r="E212" t="str">
            <v>3PL배송비-센타하역비-타사파렛트렌탈료</v>
          </cell>
          <cell r="F212">
            <v>26391112</v>
          </cell>
        </row>
        <row r="213">
          <cell r="B213" t="str">
            <v>32342</v>
          </cell>
          <cell r="C213" t="str">
            <v>1본부 운영1팀</v>
          </cell>
          <cell r="D213" t="str">
            <v>51251000</v>
          </cell>
          <cell r="E213" t="str">
            <v>3PL배송비-센타하역비-기타</v>
          </cell>
          <cell r="F213">
            <v>0</v>
          </cell>
        </row>
        <row r="214">
          <cell r="B214" t="str">
            <v>32343</v>
          </cell>
          <cell r="C214" t="str">
            <v>1본부 운영2팀</v>
          </cell>
          <cell r="D214" t="str">
            <v>51600200</v>
          </cell>
          <cell r="E214" t="str">
            <v>3PL배송비-반품비-배송반품운송비</v>
          </cell>
          <cell r="F214">
            <v>0</v>
          </cell>
        </row>
        <row r="215">
          <cell r="B215" t="str">
            <v>32345</v>
          </cell>
          <cell r="C215" t="str">
            <v>웅진_개발덕평파트</v>
          </cell>
          <cell r="D215" t="str">
            <v>51250100</v>
          </cell>
          <cell r="E215" t="str">
            <v>3PL배송비-센타하역비-전산관리직인건비</v>
          </cell>
          <cell r="F215">
            <v>0</v>
          </cell>
        </row>
        <row r="216">
          <cell r="D216" t="str">
            <v>51250200</v>
          </cell>
          <cell r="E216" t="str">
            <v>3PL배송비-센타하역비-하역고정직인건비</v>
          </cell>
          <cell r="F216">
            <v>80872466</v>
          </cell>
        </row>
        <row r="217">
          <cell r="D217" t="str">
            <v>51250300</v>
          </cell>
          <cell r="E217" t="str">
            <v>3PL배송비-센타하역비-하역임시직인건비</v>
          </cell>
          <cell r="F217">
            <v>0</v>
          </cell>
        </row>
        <row r="218">
          <cell r="D218" t="str">
            <v>51250400</v>
          </cell>
          <cell r="E218" t="str">
            <v>3PL배송비-센타하역비-지게차사용료</v>
          </cell>
          <cell r="F218">
            <v>9238700</v>
          </cell>
        </row>
        <row r="219">
          <cell r="D219" t="str">
            <v>51250600</v>
          </cell>
          <cell r="E219" t="str">
            <v>3PL배송비-센타하역비-물류소모품비</v>
          </cell>
          <cell r="F219">
            <v>6621260</v>
          </cell>
        </row>
        <row r="220">
          <cell r="D220" t="str">
            <v>51251000</v>
          </cell>
          <cell r="E220" t="str">
            <v>3PL배송비-센타하역비-기타</v>
          </cell>
          <cell r="F220">
            <v>0</v>
          </cell>
        </row>
        <row r="221">
          <cell r="D221" t="str">
            <v>51350200</v>
          </cell>
          <cell r="E221" t="str">
            <v>3PL배송비-보관비-보관창고임차료</v>
          </cell>
          <cell r="F221">
            <v>99198600</v>
          </cell>
        </row>
        <row r="222">
          <cell r="B222" t="str">
            <v>32345</v>
          </cell>
          <cell r="C222" t="str">
            <v>웅진_개발덕평파트</v>
          </cell>
          <cell r="D222" t="str">
            <v>51450600</v>
          </cell>
          <cell r="E222" t="str">
            <v>3PL배송비-유통가공비-물류소모품비</v>
          </cell>
          <cell r="F222">
            <v>1233500</v>
          </cell>
        </row>
        <row r="223">
          <cell r="B223" t="str">
            <v>32346</v>
          </cell>
          <cell r="C223" t="str">
            <v>웅진_개발연기센터</v>
          </cell>
          <cell r="D223" t="str">
            <v>51250100</v>
          </cell>
          <cell r="E223" t="str">
            <v>3PL배송비-센타하역비-전산관리직인건비</v>
          </cell>
          <cell r="F223">
            <v>2606912</v>
          </cell>
        </row>
        <row r="224">
          <cell r="D224" t="str">
            <v>51250200</v>
          </cell>
          <cell r="E224" t="str">
            <v>3PL배송비-센타하역비-하역고정직인건비</v>
          </cell>
          <cell r="F224">
            <v>13226294</v>
          </cell>
        </row>
        <row r="225">
          <cell r="D225" t="str">
            <v>51250300</v>
          </cell>
          <cell r="E225" t="str">
            <v>3PL배송비-센타하역비-하역임시직인건비</v>
          </cell>
          <cell r="F225">
            <v>8230343</v>
          </cell>
        </row>
        <row r="226">
          <cell r="D226" t="str">
            <v>51250400</v>
          </cell>
          <cell r="E226" t="str">
            <v>3PL배송비-센타하역비-지게차사용료</v>
          </cell>
          <cell r="F226">
            <v>1998000</v>
          </cell>
        </row>
        <row r="227">
          <cell r="D227" t="str">
            <v>51250600</v>
          </cell>
          <cell r="E227" t="str">
            <v>3PL배송비-센타하역비-물류소모품비</v>
          </cell>
          <cell r="F227">
            <v>700800</v>
          </cell>
        </row>
        <row r="228">
          <cell r="D228" t="str">
            <v>51251000</v>
          </cell>
          <cell r="E228" t="str">
            <v>3PL배송비-센타하역비-기타</v>
          </cell>
          <cell r="F228">
            <v>0</v>
          </cell>
        </row>
        <row r="229">
          <cell r="D229" t="str">
            <v>51350200</v>
          </cell>
          <cell r="E229" t="str">
            <v>3PL배송비-보관비-보관창고임차료</v>
          </cell>
          <cell r="F229">
            <v>14700000</v>
          </cell>
        </row>
        <row r="230">
          <cell r="B230" t="str">
            <v>32346</v>
          </cell>
          <cell r="C230" t="str">
            <v>웅진_개발연기센터</v>
          </cell>
          <cell r="D230" t="str">
            <v>51450600</v>
          </cell>
          <cell r="E230" t="str">
            <v>3PL배송비-유통가공비-물류소모품비</v>
          </cell>
          <cell r="F230">
            <v>865000</v>
          </cell>
        </row>
        <row r="231">
          <cell r="B231" t="str">
            <v>32347</v>
          </cell>
          <cell r="C231" t="str">
            <v>웅진_개발양산센터</v>
          </cell>
          <cell r="D231" t="str">
            <v>51250200</v>
          </cell>
          <cell r="E231" t="str">
            <v>3PL배송비-센타하역비-하역고정직인건비</v>
          </cell>
          <cell r="F231">
            <v>27264904</v>
          </cell>
        </row>
        <row r="232">
          <cell r="D232" t="str">
            <v>51250400</v>
          </cell>
          <cell r="E232" t="str">
            <v>3PL배송비-센타하역비-지게차사용료</v>
          </cell>
          <cell r="F232">
            <v>3500000</v>
          </cell>
        </row>
        <row r="233">
          <cell r="D233" t="str">
            <v>51250600</v>
          </cell>
          <cell r="E233" t="str">
            <v>3PL배송비-센타하역비-물류소모품비</v>
          </cell>
          <cell r="F233">
            <v>675227</v>
          </cell>
        </row>
        <row r="234">
          <cell r="D234" t="str">
            <v>51251000</v>
          </cell>
          <cell r="E234" t="str">
            <v>3PL배송비-센타하역비-기타</v>
          </cell>
          <cell r="F234">
            <v>0</v>
          </cell>
        </row>
        <row r="235">
          <cell r="D235" t="str">
            <v>51350200</v>
          </cell>
          <cell r="E235" t="str">
            <v>3PL배송비-보관비-보관창고임차료</v>
          </cell>
          <cell r="F235">
            <v>26730134</v>
          </cell>
        </row>
        <row r="236">
          <cell r="D236" t="str">
            <v>51450600</v>
          </cell>
          <cell r="E236" t="str">
            <v>3PL배송비-유통가공비-물류소모품비</v>
          </cell>
          <cell r="F236">
            <v>1183000</v>
          </cell>
        </row>
        <row r="237">
          <cell r="B237" t="str">
            <v>32347</v>
          </cell>
          <cell r="C237" t="str">
            <v>웅진_개발양산센터</v>
          </cell>
          <cell r="D237" t="str">
            <v>51600200</v>
          </cell>
          <cell r="E237" t="str">
            <v>3PL배송비-반품비-배송반품운송비</v>
          </cell>
          <cell r="F237">
            <v>111300</v>
          </cell>
        </row>
        <row r="238">
          <cell r="B238" t="str">
            <v>32348</v>
          </cell>
          <cell r="C238" t="str">
            <v>웅진_개발지점창고</v>
          </cell>
          <cell r="D238" t="str">
            <v>51250600</v>
          </cell>
          <cell r="E238" t="str">
            <v>3PL배송비-센타하역비-물류소모품비</v>
          </cell>
          <cell r="F238">
            <v>746330</v>
          </cell>
        </row>
        <row r="239">
          <cell r="D239" t="str">
            <v>51251000</v>
          </cell>
          <cell r="E239" t="str">
            <v>3PL배송비-센타하역비-기타</v>
          </cell>
          <cell r="F239">
            <v>240390000</v>
          </cell>
        </row>
        <row r="240">
          <cell r="D240" t="str">
            <v>51300100</v>
          </cell>
          <cell r="E240" t="str">
            <v>3PL배송비-폐기운영비-폐기위탁비용</v>
          </cell>
          <cell r="F240">
            <v>3078500</v>
          </cell>
        </row>
        <row r="241">
          <cell r="D241" t="str">
            <v>51309900</v>
          </cell>
          <cell r="E241" t="str">
            <v>3PL배송비-폐기운영비-기타</v>
          </cell>
          <cell r="F241">
            <v>4307481</v>
          </cell>
        </row>
        <row r="242">
          <cell r="D242" t="str">
            <v>51350200</v>
          </cell>
          <cell r="E242" t="str">
            <v>3PL배송비-보관비-보관창고임차료</v>
          </cell>
          <cell r="F242">
            <v>154083574</v>
          </cell>
        </row>
        <row r="243">
          <cell r="B243" t="str">
            <v>32348</v>
          </cell>
          <cell r="C243" t="str">
            <v>웅진_개발지점창고</v>
          </cell>
          <cell r="D243" t="str">
            <v>51450600</v>
          </cell>
          <cell r="E243" t="str">
            <v>3PL배송비-유통가공비-물류소모품비</v>
          </cell>
          <cell r="F243">
            <v>1670700</v>
          </cell>
        </row>
        <row r="244">
          <cell r="B244" t="str">
            <v>32349</v>
          </cell>
          <cell r="C244" t="str">
            <v>웅진_식품왜관센터</v>
          </cell>
          <cell r="D244" t="str">
            <v>51250100</v>
          </cell>
          <cell r="E244" t="str">
            <v>3PL배송비-센타하역비-전산관리직인건비</v>
          </cell>
          <cell r="F244">
            <v>3628517</v>
          </cell>
        </row>
        <row r="245">
          <cell r="D245" t="str">
            <v>51250200</v>
          </cell>
          <cell r="E245" t="str">
            <v>3PL배송비-센타하역비-하역고정직인건비</v>
          </cell>
          <cell r="F245">
            <v>10414403</v>
          </cell>
        </row>
        <row r="246">
          <cell r="D246" t="str">
            <v>51250300</v>
          </cell>
          <cell r="E246" t="str">
            <v>3PL배송비-센타하역비-하역임시직인건비</v>
          </cell>
          <cell r="F246">
            <v>6837560</v>
          </cell>
        </row>
        <row r="247">
          <cell r="D247" t="str">
            <v>51250400</v>
          </cell>
          <cell r="E247" t="str">
            <v>3PL배송비-센타하역비-지게차사용료</v>
          </cell>
          <cell r="F247">
            <v>3000000</v>
          </cell>
        </row>
        <row r="248">
          <cell r="D248" t="str">
            <v>51250500</v>
          </cell>
          <cell r="E248" t="str">
            <v>3PL배송-하역-지게차유류대</v>
          </cell>
          <cell r="F248">
            <v>1604833</v>
          </cell>
        </row>
        <row r="249">
          <cell r="D249" t="str">
            <v>51250600</v>
          </cell>
          <cell r="E249" t="str">
            <v>3PL배송비-센타하역비-물류소모품비</v>
          </cell>
          <cell r="F249">
            <v>329900</v>
          </cell>
        </row>
        <row r="250">
          <cell r="D250" t="str">
            <v>51251000</v>
          </cell>
          <cell r="E250" t="str">
            <v>3PL배송비-센타하역비-기타</v>
          </cell>
          <cell r="F250">
            <v>0</v>
          </cell>
        </row>
        <row r="251">
          <cell r="D251" t="str">
            <v>51350200</v>
          </cell>
          <cell r="E251" t="str">
            <v>3PL배송비-보관비-보관창고임차료</v>
          </cell>
          <cell r="F251">
            <v>21000000</v>
          </cell>
        </row>
        <row r="252">
          <cell r="B252" t="str">
            <v>32349</v>
          </cell>
          <cell r="C252" t="str">
            <v>웅진_식품왜관센터</v>
          </cell>
          <cell r="D252" t="str">
            <v>51600200</v>
          </cell>
          <cell r="E252" t="str">
            <v>3PL배송비-반품비-배송반품운송비</v>
          </cell>
          <cell r="F252">
            <v>1007300</v>
          </cell>
        </row>
        <row r="253">
          <cell r="B253" t="str">
            <v>32350</v>
          </cell>
          <cell r="C253" t="str">
            <v>웅진_식품이천파트</v>
          </cell>
          <cell r="D253" t="str">
            <v>51250200</v>
          </cell>
          <cell r="E253" t="str">
            <v>3PL배송비-센타하역비-하역고정직인건비</v>
          </cell>
          <cell r="F253">
            <v>24590232</v>
          </cell>
        </row>
        <row r="254">
          <cell r="D254" t="str">
            <v>51250300</v>
          </cell>
          <cell r="E254" t="str">
            <v>3PL배송비-센타하역비-하역임시직인건비</v>
          </cell>
          <cell r="F254">
            <v>35027653</v>
          </cell>
        </row>
        <row r="255">
          <cell r="D255" t="str">
            <v>51250400</v>
          </cell>
          <cell r="E255" t="str">
            <v>3PL배송비-센타하역비-지게차사용료</v>
          </cell>
          <cell r="F255">
            <v>4500000</v>
          </cell>
        </row>
        <row r="256">
          <cell r="D256" t="str">
            <v>51250500</v>
          </cell>
          <cell r="E256" t="str">
            <v>3PL배송-하역-지게차유류대</v>
          </cell>
          <cell r="F256">
            <v>0</v>
          </cell>
        </row>
        <row r="257">
          <cell r="D257" t="str">
            <v>51250600</v>
          </cell>
          <cell r="E257" t="str">
            <v>3PL배송비-센타하역비-물류소모품비</v>
          </cell>
          <cell r="F257">
            <v>4457842</v>
          </cell>
        </row>
        <row r="258">
          <cell r="D258" t="str">
            <v>51251000</v>
          </cell>
          <cell r="E258" t="str">
            <v>3PL배송비-센타하역비-기타</v>
          </cell>
          <cell r="F258">
            <v>1054545</v>
          </cell>
        </row>
        <row r="259">
          <cell r="D259" t="str">
            <v>51350200</v>
          </cell>
          <cell r="E259" t="str">
            <v>3PL배송비-보관비-보관창고임차료</v>
          </cell>
          <cell r="F259">
            <v>64000000</v>
          </cell>
        </row>
        <row r="260">
          <cell r="B260" t="str">
            <v>32350</v>
          </cell>
          <cell r="C260" t="str">
            <v>웅진_식품이천파트</v>
          </cell>
          <cell r="D260" t="str">
            <v>51600200</v>
          </cell>
          <cell r="E260" t="str">
            <v>3PL배송비-반품비-배송반품운송비</v>
          </cell>
          <cell r="F260">
            <v>707300</v>
          </cell>
        </row>
        <row r="261">
          <cell r="B261" t="str">
            <v>32351</v>
          </cell>
          <cell r="C261" t="str">
            <v>웅진_식품연기센터</v>
          </cell>
          <cell r="D261" t="str">
            <v>51250100</v>
          </cell>
          <cell r="E261" t="str">
            <v>3PL배송비-센타하역비-전산관리직인건비</v>
          </cell>
          <cell r="F261">
            <v>4471959</v>
          </cell>
        </row>
        <row r="262">
          <cell r="D262" t="str">
            <v>51250200</v>
          </cell>
          <cell r="E262" t="str">
            <v>3PL배송비-센타하역비-하역고정직인건비</v>
          </cell>
          <cell r="F262">
            <v>5034206</v>
          </cell>
        </row>
        <row r="263">
          <cell r="D263" t="str">
            <v>51250300</v>
          </cell>
          <cell r="E263" t="str">
            <v>3PL배송비-센타하역비-하역임시직인건비</v>
          </cell>
          <cell r="F263">
            <v>16882046</v>
          </cell>
        </row>
        <row r="264">
          <cell r="D264" t="str">
            <v>51250400</v>
          </cell>
          <cell r="E264" t="str">
            <v>3PL배송비-센타하역비-지게차사용료</v>
          </cell>
          <cell r="F264">
            <v>3150000</v>
          </cell>
        </row>
        <row r="265">
          <cell r="D265" t="str">
            <v>51250600</v>
          </cell>
          <cell r="E265" t="str">
            <v>3PL배송비-센타하역비-물류소모품비</v>
          </cell>
          <cell r="F265">
            <v>3347332</v>
          </cell>
        </row>
        <row r="266">
          <cell r="D266" t="str">
            <v>51251000</v>
          </cell>
          <cell r="E266" t="str">
            <v>3PL배송비-센타하역비-기타</v>
          </cell>
          <cell r="F266">
            <v>0</v>
          </cell>
        </row>
        <row r="267">
          <cell r="D267" t="str">
            <v>51350100</v>
          </cell>
          <cell r="E267" t="str">
            <v>3PL배송비-보관비-분류창고임차료</v>
          </cell>
          <cell r="F267">
            <v>0</v>
          </cell>
        </row>
        <row r="268">
          <cell r="D268" t="str">
            <v>51350200</v>
          </cell>
          <cell r="E268" t="str">
            <v>3PL배송비-보관비-보관창고임차료</v>
          </cell>
          <cell r="F268">
            <v>21000000</v>
          </cell>
        </row>
        <row r="269">
          <cell r="D269" t="str">
            <v>51450600</v>
          </cell>
          <cell r="E269" t="str">
            <v>3PL배송비-유통가공비-물류소모품비</v>
          </cell>
          <cell r="F269">
            <v>0</v>
          </cell>
        </row>
        <row r="270">
          <cell r="B270" t="str">
            <v>32351</v>
          </cell>
          <cell r="C270" t="str">
            <v>웅진_식품연기센터</v>
          </cell>
          <cell r="D270" t="str">
            <v>51600200</v>
          </cell>
          <cell r="E270" t="str">
            <v>3PL배송비-반품비-배송반품운송비</v>
          </cell>
          <cell r="F270">
            <v>630000</v>
          </cell>
        </row>
        <row r="271">
          <cell r="B271" t="str">
            <v>32352</v>
          </cell>
          <cell r="C271" t="str">
            <v>서수원센터</v>
          </cell>
          <cell r="D271" t="str">
            <v>51250600</v>
          </cell>
          <cell r="E271" t="str">
            <v>3PL배송비-센타하역비-물류소모품비</v>
          </cell>
          <cell r="F271">
            <v>0</v>
          </cell>
        </row>
        <row r="272">
          <cell r="D272" t="str">
            <v>51350200</v>
          </cell>
          <cell r="E272" t="str">
            <v>3PL배송비-보관비-보관창고임차료</v>
          </cell>
          <cell r="F272">
            <v>33534000</v>
          </cell>
        </row>
        <row r="273">
          <cell r="D273" t="str">
            <v>51450200</v>
          </cell>
          <cell r="E273" t="str">
            <v>3PL배송비-유통가공비-하역고정직인건비</v>
          </cell>
          <cell r="F273">
            <v>27000000</v>
          </cell>
        </row>
        <row r="274">
          <cell r="D274" t="str">
            <v>51450600</v>
          </cell>
          <cell r="E274" t="str">
            <v>3PL배송비-유통가공비-물류소모품비</v>
          </cell>
          <cell r="F274">
            <v>160000</v>
          </cell>
        </row>
        <row r="275">
          <cell r="B275" t="str">
            <v>32352</v>
          </cell>
          <cell r="C275" t="str">
            <v>서수원센터</v>
          </cell>
          <cell r="D275" t="str">
            <v>51600100</v>
          </cell>
          <cell r="E275" t="str">
            <v>3PL배송비-반품비-간선반품운송비</v>
          </cell>
          <cell r="F275">
            <v>0</v>
          </cell>
        </row>
        <row r="276">
          <cell r="B276" t="str">
            <v>32353</v>
          </cell>
          <cell r="C276" t="str">
            <v>덕평물류센터</v>
          </cell>
          <cell r="D276" t="str">
            <v>51250200</v>
          </cell>
          <cell r="E276" t="str">
            <v>3PL배송비-센타하역비-하역고정직인건비</v>
          </cell>
          <cell r="F276">
            <v>35042013</v>
          </cell>
        </row>
        <row r="277">
          <cell r="D277" t="str">
            <v>51250400</v>
          </cell>
          <cell r="E277" t="str">
            <v>3PL배송비-센타하역비-지게차사용료</v>
          </cell>
          <cell r="F277">
            <v>6600000</v>
          </cell>
        </row>
        <row r="278">
          <cell r="D278" t="str">
            <v>51250600</v>
          </cell>
          <cell r="E278" t="str">
            <v>3PL배송비-센타하역비-물류소모품비</v>
          </cell>
          <cell r="F278">
            <v>2952500</v>
          </cell>
        </row>
        <row r="279">
          <cell r="D279" t="str">
            <v>51350200</v>
          </cell>
          <cell r="E279" t="str">
            <v>3PL배송비-보관비-보관창고임차료</v>
          </cell>
          <cell r="F279">
            <v>32872400</v>
          </cell>
        </row>
        <row r="280">
          <cell r="B280" t="str">
            <v>32353</v>
          </cell>
          <cell r="C280" t="str">
            <v>덕평물류센터</v>
          </cell>
          <cell r="D280" t="str">
            <v>51459900</v>
          </cell>
          <cell r="E280" t="str">
            <v>3PL배송비-유통가공비-기타</v>
          </cell>
          <cell r="F280">
            <v>196362355</v>
          </cell>
        </row>
        <row r="281">
          <cell r="B281" t="str">
            <v>32354</v>
          </cell>
          <cell r="C281" t="str">
            <v>수도권세트 통합센터</v>
          </cell>
          <cell r="D281" t="str">
            <v>51250100</v>
          </cell>
          <cell r="E281" t="str">
            <v>3PL배송비-센타하역비-전산관리직인건비</v>
          </cell>
          <cell r="F281">
            <v>0</v>
          </cell>
        </row>
        <row r="282">
          <cell r="D282" t="str">
            <v>51250200</v>
          </cell>
          <cell r="E282" t="str">
            <v>3PL배송비-센타하역비-하역고정직인건비</v>
          </cell>
          <cell r="F282">
            <v>0</v>
          </cell>
        </row>
        <row r="283">
          <cell r="D283" t="str">
            <v>51250300</v>
          </cell>
          <cell r="E283" t="str">
            <v>3PL배송비-센타하역비-하역임시직인건비</v>
          </cell>
          <cell r="F283">
            <v>0</v>
          </cell>
        </row>
        <row r="284">
          <cell r="D284" t="str">
            <v>51250400</v>
          </cell>
          <cell r="E284" t="str">
            <v>3PL배송비-센타하역비-지게차사용료</v>
          </cell>
          <cell r="F284">
            <v>0</v>
          </cell>
        </row>
        <row r="285">
          <cell r="D285" t="str">
            <v>51250500</v>
          </cell>
          <cell r="E285" t="str">
            <v>3PL배송-하역-지게차유류대</v>
          </cell>
          <cell r="F285">
            <v>337169</v>
          </cell>
        </row>
        <row r="286">
          <cell r="D286" t="str">
            <v>51250600</v>
          </cell>
          <cell r="E286" t="str">
            <v>3PL배송비-센타하역비-물류소모품비</v>
          </cell>
          <cell r="F286">
            <v>0</v>
          </cell>
        </row>
        <row r="287">
          <cell r="D287" t="str">
            <v>51250800</v>
          </cell>
          <cell r="E287" t="str">
            <v>3PL배송비-센타하역비-타사파렛트렌탈료</v>
          </cell>
          <cell r="F287">
            <v>0</v>
          </cell>
        </row>
        <row r="288">
          <cell r="D288" t="str">
            <v>51350100</v>
          </cell>
          <cell r="E288" t="str">
            <v>3PL배송비-보관비-분류창고임차료</v>
          </cell>
          <cell r="F288">
            <v>0</v>
          </cell>
        </row>
        <row r="289">
          <cell r="B289" t="str">
            <v>32354</v>
          </cell>
          <cell r="C289" t="str">
            <v>수도권세트 통합센터</v>
          </cell>
          <cell r="D289" t="str">
            <v>51350200</v>
          </cell>
          <cell r="E289" t="str">
            <v>3PL배송비-보관비-보관창고임차료</v>
          </cell>
          <cell r="F289">
            <v>27459000</v>
          </cell>
        </row>
        <row r="290">
          <cell r="B290" t="str">
            <v>32355</v>
          </cell>
          <cell r="C290" t="str">
            <v>경북공동창고</v>
          </cell>
          <cell r="D290" t="str">
            <v>51250300</v>
          </cell>
          <cell r="E290" t="str">
            <v>3PL배송비-센타하역비-하역임시직인건비</v>
          </cell>
          <cell r="F290">
            <v>0</v>
          </cell>
        </row>
        <row r="291">
          <cell r="D291" t="str">
            <v>51250400</v>
          </cell>
          <cell r="E291" t="str">
            <v>3PL배송비-센타하역비-지게차사용료</v>
          </cell>
          <cell r="F291">
            <v>0</v>
          </cell>
        </row>
        <row r="292">
          <cell r="B292" t="str">
            <v>32355</v>
          </cell>
          <cell r="C292" t="str">
            <v>경북공동창고</v>
          </cell>
          <cell r="D292" t="str">
            <v>51250600</v>
          </cell>
          <cell r="E292" t="str">
            <v>3PL배송비-센타하역비-물류소모품비</v>
          </cell>
          <cell r="F292">
            <v>0</v>
          </cell>
        </row>
        <row r="293">
          <cell r="B293" t="str">
            <v>32356</v>
          </cell>
          <cell r="C293" t="str">
            <v>경남공동창고</v>
          </cell>
          <cell r="D293" t="str">
            <v>51250600</v>
          </cell>
          <cell r="E293" t="str">
            <v>3PL배송비-센타하역비-물류소모품비</v>
          </cell>
          <cell r="F293">
            <v>0</v>
          </cell>
        </row>
        <row r="294">
          <cell r="B294" t="str">
            <v>32356</v>
          </cell>
          <cell r="C294" t="str">
            <v>경남공동창고</v>
          </cell>
          <cell r="D294" t="str">
            <v>51250700</v>
          </cell>
          <cell r="E294" t="str">
            <v>3PL배송비-센타하역비-물동량성과급</v>
          </cell>
          <cell r="F294">
            <v>0</v>
          </cell>
        </row>
        <row r="295">
          <cell r="B295" t="str">
            <v>32357</v>
          </cell>
          <cell r="C295" t="str">
            <v>광주공동창고</v>
          </cell>
          <cell r="D295" t="str">
            <v>51250700</v>
          </cell>
          <cell r="E295" t="str">
            <v>3PL배송비-센타하역비-물동량성과급</v>
          </cell>
          <cell r="F295">
            <v>0</v>
          </cell>
        </row>
        <row r="296">
          <cell r="B296" t="str">
            <v>32358</v>
          </cell>
          <cell r="C296" t="str">
            <v>충청공동창고</v>
          </cell>
          <cell r="D296" t="str">
            <v>51250600</v>
          </cell>
          <cell r="E296" t="str">
            <v>3PL배송비-센타하역비-물류소모품비</v>
          </cell>
          <cell r="F296">
            <v>0</v>
          </cell>
        </row>
        <row r="297">
          <cell r="B297" t="str">
            <v>32358</v>
          </cell>
          <cell r="C297" t="str">
            <v>충청공동창고</v>
          </cell>
          <cell r="D297" t="str">
            <v>51250700</v>
          </cell>
          <cell r="E297" t="str">
            <v>3PL배송비-센타하역비-물동량성과급</v>
          </cell>
          <cell r="F297">
            <v>0</v>
          </cell>
        </row>
        <row r="298">
          <cell r="B298" t="str">
            <v>32359</v>
          </cell>
          <cell r="C298" t="str">
            <v>웅진_식품인천센터</v>
          </cell>
          <cell r="D298" t="str">
            <v>51251000</v>
          </cell>
          <cell r="E298" t="str">
            <v>3PL배송비-센타하역비-기타</v>
          </cell>
          <cell r="F298">
            <v>0</v>
          </cell>
        </row>
        <row r="299">
          <cell r="B299" t="str">
            <v>32361</v>
          </cell>
          <cell r="C299" t="str">
            <v>1본부 TCC파트</v>
          </cell>
          <cell r="D299" t="str">
            <v>51400200</v>
          </cell>
          <cell r="E299" t="str">
            <v>3PL배송비-컨설팅소모경비</v>
          </cell>
          <cell r="F299">
            <v>1180072</v>
          </cell>
        </row>
        <row r="300">
          <cell r="B300" t="str">
            <v>32362</v>
          </cell>
          <cell r="C300" t="str">
            <v>만도울산센터</v>
          </cell>
          <cell r="D300" t="str">
            <v>51250200</v>
          </cell>
          <cell r="E300" t="str">
            <v>3PL배송비-센타하역비-하역고정직인건비</v>
          </cell>
          <cell r="F300">
            <v>83119910</v>
          </cell>
        </row>
        <row r="301">
          <cell r="D301" t="str">
            <v>51250400</v>
          </cell>
          <cell r="E301" t="str">
            <v>3PL배송비-센타하역비-지게차사용료</v>
          </cell>
          <cell r="F301">
            <v>5266000</v>
          </cell>
        </row>
        <row r="302">
          <cell r="B302" t="str">
            <v>32362</v>
          </cell>
          <cell r="C302" t="str">
            <v>만도울산센터</v>
          </cell>
          <cell r="D302" t="str">
            <v>51251000</v>
          </cell>
          <cell r="E302" t="str">
            <v>3PL배송비-센타하역비-기타</v>
          </cell>
          <cell r="F302">
            <v>12451976</v>
          </cell>
        </row>
        <row r="303">
          <cell r="B303" t="str">
            <v>32363</v>
          </cell>
          <cell r="C303" t="str">
            <v>안성센터</v>
          </cell>
          <cell r="D303" t="str">
            <v>51250100</v>
          </cell>
          <cell r="E303" t="str">
            <v>3PL배송비-센타하역비-전산관리직인건비</v>
          </cell>
          <cell r="F303">
            <v>0</v>
          </cell>
        </row>
        <row r="304">
          <cell r="D304" t="str">
            <v>51250600</v>
          </cell>
          <cell r="E304" t="str">
            <v>3PL배송비-센타하역비-물류소모품비</v>
          </cell>
          <cell r="F304">
            <v>435000</v>
          </cell>
        </row>
        <row r="305">
          <cell r="D305" t="str">
            <v>51250700</v>
          </cell>
          <cell r="E305" t="str">
            <v>3PL배송비-센타하역비-물동량성과급</v>
          </cell>
          <cell r="F305">
            <v>0</v>
          </cell>
        </row>
        <row r="306">
          <cell r="D306" t="str">
            <v>51250800</v>
          </cell>
          <cell r="E306" t="str">
            <v>3PL배송비-센타하역비-타사파렛트렌탈료</v>
          </cell>
          <cell r="F306">
            <v>2446946</v>
          </cell>
        </row>
        <row r="307">
          <cell r="D307" t="str">
            <v>51251000</v>
          </cell>
          <cell r="E307" t="str">
            <v>3PL배송비-센타하역비-기타</v>
          </cell>
          <cell r="F307">
            <v>48459692</v>
          </cell>
        </row>
        <row r="308">
          <cell r="B308" t="str">
            <v>32363</v>
          </cell>
          <cell r="C308" t="str">
            <v>안성센터</v>
          </cell>
          <cell r="D308" t="str">
            <v>51350200</v>
          </cell>
          <cell r="E308" t="str">
            <v>3PL배송비-보관비-보관창고임차료</v>
          </cell>
          <cell r="F308">
            <v>18300000</v>
          </cell>
        </row>
        <row r="309">
          <cell r="B309" t="str">
            <v>32364</v>
          </cell>
          <cell r="C309" t="str">
            <v>용인센터</v>
          </cell>
          <cell r="D309" t="str">
            <v>51250100</v>
          </cell>
          <cell r="E309" t="str">
            <v>3PL배송비-센타하역비-전산관리직인건비</v>
          </cell>
          <cell r="F309">
            <v>8646552</v>
          </cell>
        </row>
        <row r="310">
          <cell r="D310" t="str">
            <v>51250200</v>
          </cell>
          <cell r="E310" t="str">
            <v>3PL배송비-센타하역비-하역고정직인건비</v>
          </cell>
          <cell r="F310">
            <v>19240193</v>
          </cell>
        </row>
        <row r="311">
          <cell r="D311" t="str">
            <v>51250300</v>
          </cell>
          <cell r="E311" t="str">
            <v>3PL배송비-센타하역비-하역임시직인건비</v>
          </cell>
          <cell r="F311">
            <v>2791000</v>
          </cell>
        </row>
        <row r="312">
          <cell r="D312" t="str">
            <v>51250400</v>
          </cell>
          <cell r="E312" t="str">
            <v>3PL배송비-센타하역비-지게차사용료</v>
          </cell>
          <cell r="F312">
            <v>6507500</v>
          </cell>
        </row>
        <row r="313">
          <cell r="D313" t="str">
            <v>51250600</v>
          </cell>
          <cell r="E313" t="str">
            <v>3PL배송비-센타하역비-물류소모품비</v>
          </cell>
          <cell r="F313">
            <v>1388200</v>
          </cell>
        </row>
        <row r="314">
          <cell r="D314" t="str">
            <v>51250700</v>
          </cell>
          <cell r="E314" t="str">
            <v>3PL배송비-센타하역비-물동량성과급</v>
          </cell>
          <cell r="F314">
            <v>0</v>
          </cell>
        </row>
        <row r="315">
          <cell r="D315" t="str">
            <v>51250800</v>
          </cell>
          <cell r="E315" t="str">
            <v>3PL배송비-센타하역비-타사파렛트렌탈료</v>
          </cell>
          <cell r="F315">
            <v>2751442</v>
          </cell>
        </row>
        <row r="316">
          <cell r="D316" t="str">
            <v>51350200</v>
          </cell>
          <cell r="E316" t="str">
            <v>3PL배송비-보관비-보관창고임차료</v>
          </cell>
          <cell r="F316">
            <v>61887000</v>
          </cell>
        </row>
        <row r="317">
          <cell r="D317" t="str">
            <v>51450100</v>
          </cell>
          <cell r="E317" t="str">
            <v>3PL배송비-유통가공비-전산관리직인건비</v>
          </cell>
          <cell r="F317">
            <v>6709649</v>
          </cell>
        </row>
        <row r="318">
          <cell r="D318" t="str">
            <v>51450200</v>
          </cell>
          <cell r="E318" t="str">
            <v>3PL배송비-유통가공비-하역고정직인건비</v>
          </cell>
          <cell r="F318">
            <v>6178224</v>
          </cell>
        </row>
        <row r="319">
          <cell r="D319" t="str">
            <v>51450300</v>
          </cell>
          <cell r="E319" t="str">
            <v>3PL배송비-유통가공비-하역임시직인건비</v>
          </cell>
          <cell r="F319">
            <v>11874210</v>
          </cell>
        </row>
        <row r="320">
          <cell r="D320" t="str">
            <v>51450400</v>
          </cell>
          <cell r="E320" t="str">
            <v>3PL배송비-유통가공비-지게차사용료</v>
          </cell>
          <cell r="F320">
            <v>2037500</v>
          </cell>
        </row>
        <row r="321">
          <cell r="D321" t="str">
            <v>51450600</v>
          </cell>
          <cell r="E321" t="str">
            <v>3PL배송비-유통가공비-물류소모품비</v>
          </cell>
          <cell r="F321">
            <v>267642</v>
          </cell>
        </row>
        <row r="322">
          <cell r="B322" t="str">
            <v>32364</v>
          </cell>
          <cell r="C322" t="str">
            <v>용인센터</v>
          </cell>
          <cell r="D322" t="str">
            <v>51600200</v>
          </cell>
          <cell r="E322" t="str">
            <v>3PL배송비-반품비-배송반품운송비</v>
          </cell>
          <cell r="F322">
            <v>590000</v>
          </cell>
        </row>
        <row r="323">
          <cell r="B323" t="str">
            <v>32366</v>
          </cell>
          <cell r="C323" t="str">
            <v>스피델 어패럴센터</v>
          </cell>
          <cell r="D323" t="str">
            <v>51459900</v>
          </cell>
          <cell r="E323" t="str">
            <v>3PL배송비-유통가공비-기타</v>
          </cell>
          <cell r="F323">
            <v>3556735</v>
          </cell>
        </row>
        <row r="324">
          <cell r="B324" t="str">
            <v>32368</v>
          </cell>
          <cell r="C324" t="str">
            <v>덕평물류센터(보관)</v>
          </cell>
          <cell r="D324" t="str">
            <v>51350200</v>
          </cell>
          <cell r="E324" t="str">
            <v>3PL배송비-보관비-보관창고임차료</v>
          </cell>
          <cell r="F324">
            <v>11200000</v>
          </cell>
        </row>
        <row r="325">
          <cell r="B325" t="str">
            <v>32369</v>
          </cell>
          <cell r="C325" t="str">
            <v>진천신선센터</v>
          </cell>
          <cell r="D325" t="str">
            <v>51250100</v>
          </cell>
          <cell r="E325" t="str">
            <v>3PL배송비-센타하역비-전산관리직인건비</v>
          </cell>
          <cell r="F325">
            <v>18397010</v>
          </cell>
        </row>
        <row r="326">
          <cell r="D326" t="str">
            <v>51250200</v>
          </cell>
          <cell r="E326" t="str">
            <v>3PL배송비-센타하역비-하역고정직인건비</v>
          </cell>
          <cell r="F326">
            <v>147460566</v>
          </cell>
        </row>
        <row r="327">
          <cell r="D327" t="str">
            <v>51250400</v>
          </cell>
          <cell r="E327" t="str">
            <v>3PL배송비-센타하역비-지게차사용료</v>
          </cell>
          <cell r="F327">
            <v>7166957</v>
          </cell>
        </row>
        <row r="328">
          <cell r="B328" t="str">
            <v>32369</v>
          </cell>
          <cell r="C328" t="str">
            <v>진천신선센터</v>
          </cell>
          <cell r="D328" t="str">
            <v>51350200</v>
          </cell>
          <cell r="E328" t="str">
            <v>3PL배송비-보관비-보관창고임차료</v>
          </cell>
          <cell r="F328">
            <v>27199700</v>
          </cell>
        </row>
        <row r="329">
          <cell r="B329" t="str">
            <v>32370</v>
          </cell>
          <cell r="C329" t="str">
            <v>철도유통용인센터</v>
          </cell>
          <cell r="D329" t="str">
            <v>51250100</v>
          </cell>
          <cell r="E329" t="str">
            <v>3PL배송비-센타하역비-전산관리직인건비</v>
          </cell>
          <cell r="F329">
            <v>8266912</v>
          </cell>
        </row>
        <row r="330">
          <cell r="D330" t="str">
            <v>51250200</v>
          </cell>
          <cell r="E330" t="str">
            <v>3PL배송비-센타하역비-하역고정직인건비</v>
          </cell>
          <cell r="F330">
            <v>18517978</v>
          </cell>
        </row>
        <row r="331">
          <cell r="D331" t="str">
            <v>51250300</v>
          </cell>
          <cell r="E331" t="str">
            <v>3PL배송비-센타하역비-하역임시직인건비</v>
          </cell>
          <cell r="F331">
            <v>194000</v>
          </cell>
        </row>
        <row r="332">
          <cell r="D332" t="str">
            <v>51250400</v>
          </cell>
          <cell r="E332" t="str">
            <v>3PL배송비-센타하역비-지게차사용료</v>
          </cell>
          <cell r="F332">
            <v>3405000</v>
          </cell>
        </row>
        <row r="333">
          <cell r="D333" t="str">
            <v>51250600</v>
          </cell>
          <cell r="E333" t="str">
            <v>3PL배송비-센타하역비-물류소모품비</v>
          </cell>
          <cell r="F333">
            <v>970500</v>
          </cell>
        </row>
        <row r="334">
          <cell r="D334" t="str">
            <v>51250800</v>
          </cell>
          <cell r="E334" t="str">
            <v>3PL배송비-센타하역비-타사파렛트렌탈료</v>
          </cell>
          <cell r="F334">
            <v>655726</v>
          </cell>
        </row>
        <row r="335">
          <cell r="B335" t="str">
            <v>32370</v>
          </cell>
          <cell r="C335" t="str">
            <v>철도유통용인센터</v>
          </cell>
          <cell r="D335" t="str">
            <v>51350200</v>
          </cell>
          <cell r="E335" t="str">
            <v>3PL배송비-보관비-보관창고임차료</v>
          </cell>
          <cell r="F335">
            <v>12800000</v>
          </cell>
        </row>
        <row r="336">
          <cell r="B336" t="str">
            <v>32371</v>
          </cell>
          <cell r="C336" t="str">
            <v>알로에파주센터</v>
          </cell>
          <cell r="D336" t="str">
            <v>51250700</v>
          </cell>
          <cell r="E336" t="str">
            <v>3PL배송비-센타하역비-물동량성과급</v>
          </cell>
          <cell r="F336">
            <v>33616800</v>
          </cell>
        </row>
        <row r="337">
          <cell r="D337" t="str">
            <v>51250800</v>
          </cell>
          <cell r="E337" t="str">
            <v>3PL배송비-센타하역비-타사파렛트렌탈료</v>
          </cell>
          <cell r="F337">
            <v>1300726</v>
          </cell>
        </row>
        <row r="338">
          <cell r="B338" t="str">
            <v>32371</v>
          </cell>
          <cell r="C338" t="str">
            <v>알로에파주센터</v>
          </cell>
          <cell r="D338" t="str">
            <v>51251000</v>
          </cell>
          <cell r="E338" t="str">
            <v>3PL배송비-센타하역비-기타</v>
          </cell>
          <cell r="F338">
            <v>1177436</v>
          </cell>
        </row>
        <row r="339">
          <cell r="B339" t="str">
            <v>32397</v>
          </cell>
          <cell r="C339" t="str">
            <v>예정원가용-3PL</v>
          </cell>
          <cell r="D339" t="str">
            <v>51251000</v>
          </cell>
          <cell r="E339" t="str">
            <v>3PL배송비-센타하역비-기타</v>
          </cell>
          <cell r="F339">
            <v>54195881</v>
          </cell>
        </row>
        <row r="340">
          <cell r="B340" t="str">
            <v>42301</v>
          </cell>
          <cell r="C340" t="str">
            <v>2본부 수송파트</v>
          </cell>
          <cell r="D340" t="str">
            <v>52100100</v>
          </cell>
          <cell r="E340" t="str">
            <v>수송비-직송비-고정차운송비</v>
          </cell>
          <cell r="F340">
            <v>0</v>
          </cell>
        </row>
        <row r="341">
          <cell r="D341" t="str">
            <v>52100200</v>
          </cell>
          <cell r="E341" t="str">
            <v>수송비-직송비-임시차운송비</v>
          </cell>
          <cell r="F341">
            <v>85000</v>
          </cell>
        </row>
        <row r="342">
          <cell r="D342" t="str">
            <v>52109900</v>
          </cell>
          <cell r="E342" t="str">
            <v>수송비-직송비-기타</v>
          </cell>
          <cell r="F342">
            <v>0</v>
          </cell>
        </row>
        <row r="343">
          <cell r="D343" t="str">
            <v>52150100</v>
          </cell>
          <cell r="E343" t="str">
            <v>수송비-반출비-고정차운송비</v>
          </cell>
          <cell r="F343">
            <v>0</v>
          </cell>
        </row>
        <row r="344">
          <cell r="D344" t="str">
            <v>52150200</v>
          </cell>
          <cell r="E344" t="str">
            <v>수송비-반출비-임시차운송비</v>
          </cell>
          <cell r="F344">
            <v>0</v>
          </cell>
        </row>
        <row r="345">
          <cell r="D345" t="str">
            <v>52159900</v>
          </cell>
          <cell r="E345" t="str">
            <v>수송비-반출비기타</v>
          </cell>
          <cell r="F345">
            <v>0</v>
          </cell>
        </row>
        <row r="346">
          <cell r="B346" t="str">
            <v>42301</v>
          </cell>
          <cell r="C346" t="str">
            <v>2본부 수송파트</v>
          </cell>
          <cell r="D346" t="str">
            <v>52300400</v>
          </cell>
          <cell r="E346" t="str">
            <v>수송비-공장하역비-지게차사용료</v>
          </cell>
          <cell r="F346">
            <v>0</v>
          </cell>
        </row>
        <row r="347">
          <cell r="B347" t="str">
            <v>42303</v>
          </cell>
          <cell r="C347" t="str">
            <v>영등포제조센터</v>
          </cell>
          <cell r="D347" t="str">
            <v>52100100</v>
          </cell>
          <cell r="E347" t="str">
            <v>수송비-직송비-고정차운송비</v>
          </cell>
          <cell r="F347">
            <v>213480700</v>
          </cell>
        </row>
        <row r="348">
          <cell r="D348" t="str">
            <v>52100200</v>
          </cell>
          <cell r="E348" t="str">
            <v>수송비-직송비-임시차운송비</v>
          </cell>
          <cell r="F348">
            <v>18237000</v>
          </cell>
        </row>
        <row r="349">
          <cell r="D349" t="str">
            <v>52109900</v>
          </cell>
          <cell r="E349" t="str">
            <v>수송비-직송비-기타</v>
          </cell>
          <cell r="F349">
            <v>3846000</v>
          </cell>
        </row>
        <row r="350">
          <cell r="D350" t="str">
            <v>52150100</v>
          </cell>
          <cell r="E350" t="str">
            <v>수송비-반출비-고정차운송비</v>
          </cell>
          <cell r="F350">
            <v>32016300</v>
          </cell>
        </row>
        <row r="351">
          <cell r="D351" t="str">
            <v>52150200</v>
          </cell>
          <cell r="E351" t="str">
            <v>수송비-반출비-임시차운송비</v>
          </cell>
          <cell r="F351">
            <v>9632200</v>
          </cell>
        </row>
        <row r="352">
          <cell r="D352" t="str">
            <v>52200100</v>
          </cell>
          <cell r="E352" t="str">
            <v>수송비-조달운송비-고정차운송비</v>
          </cell>
          <cell r="F352">
            <v>124020348</v>
          </cell>
        </row>
        <row r="353">
          <cell r="D353" t="str">
            <v>52300100</v>
          </cell>
          <cell r="E353" t="str">
            <v>수송비-공장하역비-전산관리직인건비</v>
          </cell>
          <cell r="F353">
            <v>5838144</v>
          </cell>
        </row>
        <row r="354">
          <cell r="D354" t="str">
            <v>52300200</v>
          </cell>
          <cell r="E354" t="str">
            <v>수송비-공장하역비-하역고정직인건비</v>
          </cell>
          <cell r="F354">
            <v>90423362</v>
          </cell>
        </row>
        <row r="355">
          <cell r="D355" t="str">
            <v>52300400</v>
          </cell>
          <cell r="E355" t="str">
            <v>수송비-공장하역비-지게차사용료</v>
          </cell>
          <cell r="F355">
            <v>6455000</v>
          </cell>
        </row>
        <row r="356">
          <cell r="B356" t="str">
            <v>42303</v>
          </cell>
          <cell r="C356" t="str">
            <v>영등포제조센터</v>
          </cell>
          <cell r="D356" t="str">
            <v>52300600</v>
          </cell>
          <cell r="E356" t="str">
            <v>수송비-공장하역비-파렛트렌탈료</v>
          </cell>
          <cell r="F356">
            <v>27341823</v>
          </cell>
        </row>
        <row r="357">
          <cell r="B357" t="str">
            <v>42304</v>
          </cell>
          <cell r="C357" t="str">
            <v>이천제조물류파트</v>
          </cell>
          <cell r="D357" t="str">
            <v>52100100</v>
          </cell>
          <cell r="E357" t="str">
            <v>수송비-직송비-고정차운송비</v>
          </cell>
          <cell r="F357">
            <v>6464000</v>
          </cell>
        </row>
        <row r="358">
          <cell r="D358" t="str">
            <v>52100200</v>
          </cell>
          <cell r="E358" t="str">
            <v>수송비-직송비-임시차운송비</v>
          </cell>
          <cell r="F358">
            <v>603000</v>
          </cell>
        </row>
        <row r="359">
          <cell r="D359" t="str">
            <v>52109900</v>
          </cell>
          <cell r="E359" t="str">
            <v>수송비-직송비-기타</v>
          </cell>
          <cell r="F359">
            <v>0</v>
          </cell>
        </row>
        <row r="360">
          <cell r="D360" t="str">
            <v>52150100</v>
          </cell>
          <cell r="E360" t="str">
            <v>수송비-반출비-고정차운송비</v>
          </cell>
          <cell r="F360">
            <v>40727000</v>
          </cell>
        </row>
        <row r="361">
          <cell r="D361" t="str">
            <v>52150200</v>
          </cell>
          <cell r="E361" t="str">
            <v>수송비-반출비-임시차운송비</v>
          </cell>
          <cell r="F361">
            <v>1463000</v>
          </cell>
        </row>
        <row r="362">
          <cell r="D362" t="str">
            <v>52159900</v>
          </cell>
          <cell r="E362" t="str">
            <v>수송비-반출비기타</v>
          </cell>
          <cell r="F362">
            <v>29715000</v>
          </cell>
        </row>
        <row r="363">
          <cell r="D363" t="str">
            <v>52300100</v>
          </cell>
          <cell r="E363" t="str">
            <v>수송비-공장하역비-전산관리직인건비</v>
          </cell>
          <cell r="F363">
            <v>9088951</v>
          </cell>
        </row>
        <row r="364">
          <cell r="D364" t="str">
            <v>52300200</v>
          </cell>
          <cell r="E364" t="str">
            <v>수송비-공장하역비-하역고정직인건비</v>
          </cell>
          <cell r="F364">
            <v>53131795</v>
          </cell>
        </row>
        <row r="365">
          <cell r="D365" t="str">
            <v>52300400</v>
          </cell>
          <cell r="E365" t="str">
            <v>수송비-공장하역비-지게차사용료</v>
          </cell>
          <cell r="F365">
            <v>5644342</v>
          </cell>
        </row>
        <row r="366">
          <cell r="B366" t="str">
            <v>42304</v>
          </cell>
          <cell r="C366" t="str">
            <v>이천제조물류파트</v>
          </cell>
          <cell r="D366" t="str">
            <v>52300600</v>
          </cell>
          <cell r="E366" t="str">
            <v>수송비-공장하역비-파렛트렌탈료</v>
          </cell>
          <cell r="F366">
            <v>0</v>
          </cell>
        </row>
        <row r="367">
          <cell r="B367" t="str">
            <v>42305</v>
          </cell>
          <cell r="C367" t="str">
            <v>인천1제조센터</v>
          </cell>
          <cell r="D367" t="str">
            <v>52100100</v>
          </cell>
          <cell r="E367" t="str">
            <v>수송비-직송비-고정차운송비</v>
          </cell>
          <cell r="F367">
            <v>378475900</v>
          </cell>
        </row>
        <row r="368">
          <cell r="D368" t="str">
            <v>52100200</v>
          </cell>
          <cell r="E368" t="str">
            <v>수송비-직송비-임시차운송비</v>
          </cell>
          <cell r="F368">
            <v>298890000</v>
          </cell>
        </row>
        <row r="369">
          <cell r="D369" t="str">
            <v>52109900</v>
          </cell>
          <cell r="E369" t="str">
            <v>수송비-직송비-기타</v>
          </cell>
          <cell r="F369">
            <v>8988000</v>
          </cell>
        </row>
        <row r="370">
          <cell r="D370" t="str">
            <v>52150100</v>
          </cell>
          <cell r="E370" t="str">
            <v>수송비-반출비-고정차운송비</v>
          </cell>
          <cell r="F370">
            <v>68924500</v>
          </cell>
        </row>
        <row r="371">
          <cell r="D371" t="str">
            <v>52150200</v>
          </cell>
          <cell r="E371" t="str">
            <v>수송비-반출비-임시차운송비</v>
          </cell>
          <cell r="F371">
            <v>86708100</v>
          </cell>
        </row>
        <row r="372">
          <cell r="D372" t="str">
            <v>52300100</v>
          </cell>
          <cell r="E372" t="str">
            <v>수송비-공장하역비-전산관리직인건비</v>
          </cell>
          <cell r="F372">
            <v>14696380</v>
          </cell>
        </row>
        <row r="373">
          <cell r="D373" t="str">
            <v>52300200</v>
          </cell>
          <cell r="E373" t="str">
            <v>수송비-공장하역비-하역고정직인건비</v>
          </cell>
          <cell r="F373">
            <v>74489521</v>
          </cell>
        </row>
        <row r="374">
          <cell r="D374" t="str">
            <v>52300300</v>
          </cell>
          <cell r="E374" t="str">
            <v>수송비-공장하역비-하역임시직인건비</v>
          </cell>
          <cell r="F374">
            <v>4321137</v>
          </cell>
        </row>
        <row r="375">
          <cell r="D375" t="str">
            <v>52300400</v>
          </cell>
          <cell r="E375" t="str">
            <v>수송비-공장하역비-지게차사용료</v>
          </cell>
          <cell r="F375">
            <v>12375000</v>
          </cell>
        </row>
        <row r="376">
          <cell r="B376" t="str">
            <v>42305</v>
          </cell>
          <cell r="C376" t="str">
            <v>인천1제조센터</v>
          </cell>
          <cell r="D376" t="str">
            <v>52300600</v>
          </cell>
          <cell r="E376" t="str">
            <v>수송비-공장하역비-파렛트렌탈료</v>
          </cell>
          <cell r="F376">
            <v>0</v>
          </cell>
        </row>
        <row r="377">
          <cell r="B377" t="str">
            <v>42306</v>
          </cell>
          <cell r="C377" t="str">
            <v>인천2제조물류파트</v>
          </cell>
          <cell r="D377" t="str">
            <v>52100100</v>
          </cell>
          <cell r="E377" t="str">
            <v>수송비-직송비-고정차운송비</v>
          </cell>
          <cell r="F377">
            <v>237063596</v>
          </cell>
        </row>
        <row r="378">
          <cell r="D378" t="str">
            <v>52100200</v>
          </cell>
          <cell r="E378" t="str">
            <v>수송비-직송비-임시차운송비</v>
          </cell>
          <cell r="F378">
            <v>23266000</v>
          </cell>
        </row>
        <row r="379">
          <cell r="D379" t="str">
            <v>52109900</v>
          </cell>
          <cell r="E379" t="str">
            <v>수송비-직송비-기타</v>
          </cell>
          <cell r="F379">
            <v>0</v>
          </cell>
        </row>
        <row r="380">
          <cell r="D380" t="str">
            <v>52150100</v>
          </cell>
          <cell r="E380" t="str">
            <v>수송비-반출비-고정차운송비</v>
          </cell>
          <cell r="F380">
            <v>33677100</v>
          </cell>
        </row>
        <row r="381">
          <cell r="D381" t="str">
            <v>52150200</v>
          </cell>
          <cell r="E381" t="str">
            <v>수송비-반출비-임시차운송비</v>
          </cell>
          <cell r="F381">
            <v>219933100</v>
          </cell>
        </row>
        <row r="382">
          <cell r="D382" t="str">
            <v>52159900</v>
          </cell>
          <cell r="E382" t="str">
            <v>수송비-반출비기타</v>
          </cell>
          <cell r="F382">
            <v>25016800</v>
          </cell>
        </row>
        <row r="383">
          <cell r="D383" t="str">
            <v>52200100</v>
          </cell>
          <cell r="E383" t="str">
            <v>수송비-조달운송비-고정차운송비</v>
          </cell>
          <cell r="F383">
            <v>93767606</v>
          </cell>
        </row>
        <row r="384">
          <cell r="D384" t="str">
            <v>52300100</v>
          </cell>
          <cell r="E384" t="str">
            <v>수송비-공장하역비-전산관리직인건비</v>
          </cell>
          <cell r="F384">
            <v>26374340</v>
          </cell>
        </row>
        <row r="385">
          <cell r="D385" t="str">
            <v>52300200</v>
          </cell>
          <cell r="E385" t="str">
            <v>수송비-공장하역비-하역고정직인건비</v>
          </cell>
          <cell r="F385">
            <v>176349192</v>
          </cell>
        </row>
        <row r="386">
          <cell r="D386" t="str">
            <v>52300300</v>
          </cell>
          <cell r="E386" t="str">
            <v>수송비-공장하역비-하역임시직인건비</v>
          </cell>
          <cell r="F386">
            <v>1801800</v>
          </cell>
        </row>
        <row r="387">
          <cell r="D387" t="str">
            <v>52300400</v>
          </cell>
          <cell r="E387" t="str">
            <v>수송비-공장하역비-지게차사용료</v>
          </cell>
          <cell r="F387">
            <v>28098544</v>
          </cell>
        </row>
        <row r="388">
          <cell r="B388" t="str">
            <v>42306</v>
          </cell>
          <cell r="C388" t="str">
            <v>인천2제조물류파트</v>
          </cell>
          <cell r="D388" t="str">
            <v>52300600</v>
          </cell>
          <cell r="E388" t="str">
            <v>수송비-공장하역비-파렛트렌탈료</v>
          </cell>
          <cell r="F388">
            <v>9679530</v>
          </cell>
        </row>
        <row r="389">
          <cell r="B389" t="str">
            <v>42307</v>
          </cell>
          <cell r="C389" t="str">
            <v>생활제조센터</v>
          </cell>
          <cell r="D389" t="str">
            <v>52100100</v>
          </cell>
          <cell r="E389" t="str">
            <v>수송비-직송비-고정차운송비</v>
          </cell>
          <cell r="F389">
            <v>64842600</v>
          </cell>
        </row>
        <row r="390">
          <cell r="D390" t="str">
            <v>52100200</v>
          </cell>
          <cell r="E390" t="str">
            <v>수송비-직송비-임시차운송비</v>
          </cell>
          <cell r="F390">
            <v>15559000</v>
          </cell>
        </row>
        <row r="391">
          <cell r="D391" t="str">
            <v>52109900</v>
          </cell>
          <cell r="E391" t="str">
            <v>수송비-직송비-기타</v>
          </cell>
          <cell r="F391">
            <v>4409000</v>
          </cell>
        </row>
        <row r="392">
          <cell r="D392" t="str">
            <v>52150100</v>
          </cell>
          <cell r="E392" t="str">
            <v>수송비-반출비-고정차운송비</v>
          </cell>
          <cell r="F392">
            <v>33959800</v>
          </cell>
        </row>
        <row r="393">
          <cell r="D393" t="str">
            <v>52150200</v>
          </cell>
          <cell r="E393" t="str">
            <v>수송비-반출비-임시차운송비</v>
          </cell>
          <cell r="F393">
            <v>19328400</v>
          </cell>
        </row>
        <row r="394">
          <cell r="D394" t="str">
            <v>52159900</v>
          </cell>
          <cell r="E394" t="str">
            <v>수송비-반출비기타</v>
          </cell>
          <cell r="F394">
            <v>13960000</v>
          </cell>
        </row>
        <row r="395">
          <cell r="D395" t="str">
            <v>52300100</v>
          </cell>
          <cell r="E395" t="str">
            <v>수송비-공장하역비-전산관리직인건비</v>
          </cell>
          <cell r="F395">
            <v>8436775</v>
          </cell>
        </row>
        <row r="396">
          <cell r="D396" t="str">
            <v>52300200</v>
          </cell>
          <cell r="E396" t="str">
            <v>수송비-공장하역비-하역고정직인건비</v>
          </cell>
          <cell r="F396">
            <v>111569587</v>
          </cell>
        </row>
        <row r="397">
          <cell r="D397" t="str">
            <v>52300300</v>
          </cell>
          <cell r="E397" t="str">
            <v>수송비-공장하역비-하역임시직인건비</v>
          </cell>
          <cell r="F397">
            <v>6969400</v>
          </cell>
        </row>
        <row r="398">
          <cell r="D398" t="str">
            <v>52300400</v>
          </cell>
          <cell r="E398" t="str">
            <v>수송비-공장하역비-지게차사용료</v>
          </cell>
          <cell r="F398">
            <v>19897169</v>
          </cell>
        </row>
        <row r="399">
          <cell r="B399" t="str">
            <v>42307</v>
          </cell>
          <cell r="C399" t="str">
            <v>생활제조센터</v>
          </cell>
          <cell r="D399" t="str">
            <v>52300600</v>
          </cell>
          <cell r="E399" t="str">
            <v>수송비-공장하역비-파렛트렌탈료</v>
          </cell>
          <cell r="F399">
            <v>0</v>
          </cell>
        </row>
        <row r="400">
          <cell r="B400" t="str">
            <v>42308</v>
          </cell>
          <cell r="C400" t="str">
            <v>모닝웰제조센터</v>
          </cell>
          <cell r="D400" t="str">
            <v>52100100</v>
          </cell>
          <cell r="E400" t="str">
            <v>수송비-직송비-고정차운송비</v>
          </cell>
          <cell r="F400">
            <v>24539600</v>
          </cell>
        </row>
        <row r="401">
          <cell r="D401" t="str">
            <v>52100200</v>
          </cell>
          <cell r="E401" t="str">
            <v>수송비-직송비-임시차운송비</v>
          </cell>
          <cell r="F401">
            <v>9900600</v>
          </cell>
        </row>
        <row r="402">
          <cell r="D402" t="str">
            <v>52109900</v>
          </cell>
          <cell r="E402" t="str">
            <v>수송비-직송비-기타</v>
          </cell>
          <cell r="F402">
            <v>84750</v>
          </cell>
        </row>
        <row r="403">
          <cell r="D403" t="str">
            <v>52150100</v>
          </cell>
          <cell r="E403" t="str">
            <v>수송비-반출비-고정차운송비</v>
          </cell>
          <cell r="F403">
            <v>28954400</v>
          </cell>
        </row>
        <row r="404">
          <cell r="D404" t="str">
            <v>52150200</v>
          </cell>
          <cell r="E404" t="str">
            <v>수송비-반출비-임시차운송비</v>
          </cell>
          <cell r="F404">
            <v>10772800</v>
          </cell>
        </row>
        <row r="405">
          <cell r="D405" t="str">
            <v>52159900</v>
          </cell>
          <cell r="E405" t="str">
            <v>수송비-반출비기타</v>
          </cell>
          <cell r="F405">
            <v>282000</v>
          </cell>
        </row>
        <row r="406">
          <cell r="D406" t="str">
            <v>52300200</v>
          </cell>
          <cell r="E406" t="str">
            <v>수송비-공장하역비-하역고정직인건비</v>
          </cell>
          <cell r="F406">
            <v>32231500</v>
          </cell>
        </row>
        <row r="407">
          <cell r="B407" t="str">
            <v>42308</v>
          </cell>
          <cell r="C407" t="str">
            <v>모닝웰제조센터</v>
          </cell>
          <cell r="D407" t="str">
            <v>52300300</v>
          </cell>
          <cell r="E407" t="str">
            <v>수송비-공장하역비-하역임시직인건비</v>
          </cell>
          <cell r="F407">
            <v>13808670</v>
          </cell>
        </row>
        <row r="408">
          <cell r="B408" t="str">
            <v>42309</v>
          </cell>
          <cell r="C408" t="str">
            <v>부산1제조센터</v>
          </cell>
          <cell r="D408" t="str">
            <v>52100100</v>
          </cell>
          <cell r="E408" t="str">
            <v>수송비-직송비-고정차운송비</v>
          </cell>
          <cell r="F408">
            <v>174046900</v>
          </cell>
        </row>
        <row r="409">
          <cell r="D409" t="str">
            <v>52100200</v>
          </cell>
          <cell r="E409" t="str">
            <v>수송비-직송비-임시차운송비</v>
          </cell>
          <cell r="F409">
            <v>18167000</v>
          </cell>
        </row>
        <row r="410">
          <cell r="D410" t="str">
            <v>52109900</v>
          </cell>
          <cell r="E410" t="str">
            <v>수송비-직송비-기타</v>
          </cell>
          <cell r="F410">
            <v>2114000</v>
          </cell>
        </row>
        <row r="411">
          <cell r="D411" t="str">
            <v>52150100</v>
          </cell>
          <cell r="E411" t="str">
            <v>수송비-반출비-고정차운송비</v>
          </cell>
          <cell r="F411">
            <v>43743000</v>
          </cell>
        </row>
        <row r="412">
          <cell r="D412" t="str">
            <v>52150200</v>
          </cell>
          <cell r="E412" t="str">
            <v>수송비-반출비-임시차운송비</v>
          </cell>
          <cell r="F412">
            <v>2506000</v>
          </cell>
        </row>
        <row r="413">
          <cell r="D413" t="str">
            <v>52200100</v>
          </cell>
          <cell r="E413" t="str">
            <v>수송비-조달운송비-고정차운송비</v>
          </cell>
          <cell r="F413">
            <v>87125716</v>
          </cell>
        </row>
        <row r="414">
          <cell r="D414" t="str">
            <v>52300200</v>
          </cell>
          <cell r="E414" t="str">
            <v>수송비-공장하역비-하역고정직인건비</v>
          </cell>
          <cell r="F414">
            <v>42295469</v>
          </cell>
        </row>
        <row r="415">
          <cell r="D415" t="str">
            <v>52300300</v>
          </cell>
          <cell r="E415" t="str">
            <v>수송비-공장하역비-하역임시직인건비</v>
          </cell>
          <cell r="F415">
            <v>3870000</v>
          </cell>
        </row>
        <row r="416">
          <cell r="D416" t="str">
            <v>52300400</v>
          </cell>
          <cell r="E416" t="str">
            <v>수송비-공장하역비-지게차사용료</v>
          </cell>
          <cell r="F416">
            <v>9665939</v>
          </cell>
        </row>
        <row r="417">
          <cell r="B417" t="str">
            <v>42309</v>
          </cell>
          <cell r="C417" t="str">
            <v>부산1제조센터</v>
          </cell>
          <cell r="D417" t="str">
            <v>52300600</v>
          </cell>
          <cell r="E417" t="str">
            <v>수송비-공장하역비-파렛트렌탈료</v>
          </cell>
          <cell r="F417">
            <v>0</v>
          </cell>
        </row>
        <row r="418">
          <cell r="B418" t="str">
            <v>42310</v>
          </cell>
          <cell r="C418" t="str">
            <v>김포제조센터</v>
          </cell>
          <cell r="D418" t="str">
            <v>52100100</v>
          </cell>
          <cell r="E418" t="str">
            <v>수송비-직송비-고정차운송비</v>
          </cell>
          <cell r="F418">
            <v>5659000</v>
          </cell>
        </row>
        <row r="419">
          <cell r="D419" t="str">
            <v>52100200</v>
          </cell>
          <cell r="E419" t="str">
            <v>수송비-직송비-임시차운송비</v>
          </cell>
          <cell r="F419">
            <v>6639795</v>
          </cell>
        </row>
        <row r="420">
          <cell r="D420" t="str">
            <v>52150100</v>
          </cell>
          <cell r="E420" t="str">
            <v>수송비-반출비-고정차운송비</v>
          </cell>
          <cell r="F420">
            <v>17254600</v>
          </cell>
        </row>
        <row r="421">
          <cell r="D421" t="str">
            <v>52150200</v>
          </cell>
          <cell r="E421" t="str">
            <v>수송비-반출비-임시차운송비</v>
          </cell>
          <cell r="F421">
            <v>7492900</v>
          </cell>
        </row>
        <row r="422">
          <cell r="D422" t="str">
            <v>52200100</v>
          </cell>
          <cell r="E422" t="str">
            <v>수송비-조달운송비-고정차운송비</v>
          </cell>
          <cell r="F422">
            <v>94011962</v>
          </cell>
        </row>
        <row r="423">
          <cell r="D423" t="str">
            <v>52300100</v>
          </cell>
          <cell r="E423" t="str">
            <v>수송비-공장하역비-전산관리직인건비</v>
          </cell>
          <cell r="F423">
            <v>3946378</v>
          </cell>
        </row>
        <row r="424">
          <cell r="D424" t="str">
            <v>52300200</v>
          </cell>
          <cell r="E424" t="str">
            <v>수송비-공장하역비-하역고정직인건비</v>
          </cell>
          <cell r="F424">
            <v>59538614</v>
          </cell>
        </row>
        <row r="425">
          <cell r="D425" t="str">
            <v>52300300</v>
          </cell>
          <cell r="E425" t="str">
            <v>수송비-공장하역비-하역임시직인건비</v>
          </cell>
          <cell r="F425">
            <v>2016490</v>
          </cell>
        </row>
        <row r="426">
          <cell r="D426" t="str">
            <v>52300400</v>
          </cell>
          <cell r="E426" t="str">
            <v>수송비-공장하역비-지게차사용료</v>
          </cell>
          <cell r="F426">
            <v>4480000</v>
          </cell>
        </row>
        <row r="427">
          <cell r="D427" t="str">
            <v>52300600</v>
          </cell>
          <cell r="E427" t="str">
            <v>수송비-공장하역비-파렛트렌탈료</v>
          </cell>
          <cell r="F427">
            <v>0</v>
          </cell>
        </row>
        <row r="428">
          <cell r="B428" t="str">
            <v>42310</v>
          </cell>
          <cell r="C428" t="str">
            <v>김포제조센터</v>
          </cell>
          <cell r="D428" t="str">
            <v>52309900</v>
          </cell>
          <cell r="E428" t="str">
            <v>수송비-공장하역비-기타</v>
          </cell>
          <cell r="F428">
            <v>1419000</v>
          </cell>
        </row>
        <row r="429">
          <cell r="B429" t="str">
            <v>42311</v>
          </cell>
          <cell r="C429" t="str">
            <v>부산2제조물류파트</v>
          </cell>
          <cell r="D429" t="str">
            <v>52100100</v>
          </cell>
          <cell r="E429" t="str">
            <v>수송비-직송비-고정차운송비</v>
          </cell>
          <cell r="F429">
            <v>18360900</v>
          </cell>
        </row>
        <row r="430">
          <cell r="D430" t="str">
            <v>52100200</v>
          </cell>
          <cell r="E430" t="str">
            <v>수송비-직송비-임시차운송비</v>
          </cell>
          <cell r="F430">
            <v>1797000</v>
          </cell>
        </row>
        <row r="431">
          <cell r="D431" t="str">
            <v>52150100</v>
          </cell>
          <cell r="E431" t="str">
            <v>수송비-반출비-고정차운송비</v>
          </cell>
          <cell r="F431">
            <v>124357052</v>
          </cell>
        </row>
        <row r="432">
          <cell r="D432" t="str">
            <v>52150200</v>
          </cell>
          <cell r="E432" t="str">
            <v>수송비-반출비-임시차운송비</v>
          </cell>
          <cell r="F432">
            <v>10984000</v>
          </cell>
        </row>
        <row r="433">
          <cell r="D433" t="str">
            <v>52300100</v>
          </cell>
          <cell r="E433" t="str">
            <v>수송비-공장하역비-전산관리직인건비</v>
          </cell>
          <cell r="F433">
            <v>4088718</v>
          </cell>
        </row>
        <row r="434">
          <cell r="D434" t="str">
            <v>52300200</v>
          </cell>
          <cell r="E434" t="str">
            <v>수송비-공장하역비-하역고정직인건비</v>
          </cell>
          <cell r="F434">
            <v>16835342</v>
          </cell>
        </row>
        <row r="435">
          <cell r="D435" t="str">
            <v>52300300</v>
          </cell>
          <cell r="E435" t="str">
            <v>수송비-공장하역비-하역임시직인건비</v>
          </cell>
          <cell r="F435">
            <v>1430940</v>
          </cell>
        </row>
        <row r="436">
          <cell r="D436" t="str">
            <v>52300400</v>
          </cell>
          <cell r="E436" t="str">
            <v>수송비-공장하역비-지게차사용료</v>
          </cell>
          <cell r="F436">
            <v>1430000</v>
          </cell>
        </row>
        <row r="437">
          <cell r="D437" t="str">
            <v>52300500</v>
          </cell>
          <cell r="E437" t="str">
            <v>수송비-공장하역비-지게차유류대</v>
          </cell>
          <cell r="F437">
            <v>584180</v>
          </cell>
        </row>
        <row r="438">
          <cell r="D438" t="str">
            <v>52300600</v>
          </cell>
          <cell r="E438" t="str">
            <v>수송비-공장하역비-파렛트렌탈료</v>
          </cell>
          <cell r="F438">
            <v>0</v>
          </cell>
        </row>
        <row r="439">
          <cell r="B439" t="str">
            <v>42311</v>
          </cell>
          <cell r="C439" t="str">
            <v>부산2제조물류파트</v>
          </cell>
          <cell r="D439" t="str">
            <v>52300800</v>
          </cell>
          <cell r="E439" t="str">
            <v>수송비-공장하역비-물류소모품비</v>
          </cell>
          <cell r="F439">
            <v>0</v>
          </cell>
        </row>
        <row r="440">
          <cell r="B440" t="str">
            <v>42312</v>
          </cell>
          <cell r="C440" t="str">
            <v>군산제조센터</v>
          </cell>
          <cell r="D440" t="str">
            <v>52100100</v>
          </cell>
          <cell r="E440" t="str">
            <v>수송비-직송비-고정차운송비</v>
          </cell>
          <cell r="F440">
            <v>142999700</v>
          </cell>
        </row>
        <row r="441">
          <cell r="D441" t="str">
            <v>52150200</v>
          </cell>
          <cell r="E441" t="str">
            <v>수송비-반출비-임시차운송비</v>
          </cell>
          <cell r="F441">
            <v>52716300</v>
          </cell>
        </row>
        <row r="442">
          <cell r="B442" t="str">
            <v>42312</v>
          </cell>
          <cell r="C442" t="str">
            <v>군산제조센터</v>
          </cell>
          <cell r="D442" t="str">
            <v>52200100</v>
          </cell>
          <cell r="E442" t="str">
            <v>수송비-조달운송비-고정차운송비</v>
          </cell>
          <cell r="F442">
            <v>60595740</v>
          </cell>
        </row>
        <row r="443">
          <cell r="B443" t="str">
            <v>42313</v>
          </cell>
          <cell r="C443" t="str">
            <v>수출가공제조센터</v>
          </cell>
          <cell r="D443" t="str">
            <v>52300300</v>
          </cell>
          <cell r="E443" t="str">
            <v>수송비-공장하역비-하역임시직인건비</v>
          </cell>
          <cell r="F443">
            <v>560000</v>
          </cell>
        </row>
        <row r="444">
          <cell r="B444" t="str">
            <v>42314</v>
          </cell>
          <cell r="C444" t="str">
            <v>화장품제조센터</v>
          </cell>
          <cell r="D444" t="str">
            <v>52109900</v>
          </cell>
          <cell r="E444" t="str">
            <v>수송비-직송비-기타</v>
          </cell>
          <cell r="F444">
            <v>1411000</v>
          </cell>
        </row>
        <row r="445">
          <cell r="B445" t="str">
            <v>42314</v>
          </cell>
          <cell r="C445" t="str">
            <v>화장품제조센터</v>
          </cell>
          <cell r="D445" t="str">
            <v>52300600</v>
          </cell>
          <cell r="E445" t="str">
            <v>수송비-공장하역비-파렛트렌탈료</v>
          </cell>
          <cell r="F445">
            <v>0</v>
          </cell>
        </row>
        <row r="446">
          <cell r="B446" t="str">
            <v>42315</v>
          </cell>
          <cell r="C446" t="str">
            <v>여주저온매입센터</v>
          </cell>
          <cell r="D446" t="str">
            <v>52100100</v>
          </cell>
          <cell r="E446" t="str">
            <v>수송비-직송비-고정차운송비</v>
          </cell>
          <cell r="F446">
            <v>0</v>
          </cell>
        </row>
        <row r="447">
          <cell r="D447" t="str">
            <v>52150100</v>
          </cell>
          <cell r="E447" t="str">
            <v>수송비-반출비-고정차운송비</v>
          </cell>
          <cell r="F447">
            <v>0</v>
          </cell>
        </row>
        <row r="448">
          <cell r="D448" t="str">
            <v>52150200</v>
          </cell>
          <cell r="E448" t="str">
            <v>수송비-반출비-임시차운송비</v>
          </cell>
          <cell r="F448">
            <v>0</v>
          </cell>
        </row>
        <row r="449">
          <cell r="D449" t="str">
            <v>52159900</v>
          </cell>
          <cell r="E449" t="str">
            <v>수송비-반출비기타</v>
          </cell>
          <cell r="F449">
            <v>0</v>
          </cell>
        </row>
        <row r="450">
          <cell r="D450" t="str">
            <v>52300100</v>
          </cell>
          <cell r="E450" t="str">
            <v>수송비-공장하역비-전산관리직인건비</v>
          </cell>
          <cell r="F450">
            <v>0</v>
          </cell>
        </row>
        <row r="451">
          <cell r="D451" t="str">
            <v>52300200</v>
          </cell>
          <cell r="E451" t="str">
            <v>수송비-공장하역비-하역고정직인건비</v>
          </cell>
          <cell r="F451">
            <v>0</v>
          </cell>
        </row>
        <row r="452">
          <cell r="D452" t="str">
            <v>52300400</v>
          </cell>
          <cell r="E452" t="str">
            <v>수송비-공장하역비-지게차사용료</v>
          </cell>
          <cell r="F452">
            <v>0</v>
          </cell>
        </row>
        <row r="453">
          <cell r="B453" t="str">
            <v>42315</v>
          </cell>
          <cell r="C453" t="str">
            <v>여주저온매입센터</v>
          </cell>
          <cell r="D453" t="str">
            <v>52300600</v>
          </cell>
          <cell r="E453" t="str">
            <v>수송비-공장하역비-파렛트렌탈료</v>
          </cell>
          <cell r="F453">
            <v>0</v>
          </cell>
        </row>
        <row r="454">
          <cell r="B454" t="str">
            <v>42316</v>
          </cell>
          <cell r="C454" t="str">
            <v>웅진_수송운영코웨이</v>
          </cell>
          <cell r="D454" t="str">
            <v>52100100</v>
          </cell>
          <cell r="E454" t="str">
            <v>수송비-직송비-고정차운송비</v>
          </cell>
          <cell r="F454">
            <v>111079340</v>
          </cell>
        </row>
        <row r="455">
          <cell r="D455" t="str">
            <v>52100200</v>
          </cell>
          <cell r="E455" t="str">
            <v>수송비-직송비-임시차운송비</v>
          </cell>
          <cell r="F455">
            <v>290000</v>
          </cell>
        </row>
        <row r="456">
          <cell r="B456" t="str">
            <v>42316</v>
          </cell>
          <cell r="C456" t="str">
            <v>웅진_수송운영코웨이</v>
          </cell>
          <cell r="D456" t="str">
            <v>52109900</v>
          </cell>
          <cell r="E456" t="str">
            <v>수송비-직송비-기타</v>
          </cell>
          <cell r="F456">
            <v>16798000</v>
          </cell>
        </row>
        <row r="457">
          <cell r="B457" t="str">
            <v>42317</v>
          </cell>
          <cell r="C457" t="str">
            <v>웅진_식품유구센터</v>
          </cell>
          <cell r="D457" t="str">
            <v>52100100</v>
          </cell>
          <cell r="E457" t="str">
            <v>수송비-직송비-고정차운송비</v>
          </cell>
          <cell r="F457">
            <v>63852000</v>
          </cell>
        </row>
        <row r="458">
          <cell r="D458" t="str">
            <v>52100200</v>
          </cell>
          <cell r="E458" t="str">
            <v>수송비-직송비-임시차운송비</v>
          </cell>
          <cell r="F458">
            <v>6420000</v>
          </cell>
        </row>
        <row r="459">
          <cell r="D459" t="str">
            <v>52109900</v>
          </cell>
          <cell r="E459" t="str">
            <v>수송비-직송비-기타</v>
          </cell>
          <cell r="F459">
            <v>48000</v>
          </cell>
        </row>
        <row r="460">
          <cell r="D460" t="str">
            <v>52150100</v>
          </cell>
          <cell r="E460" t="str">
            <v>수송비-반출비-고정차운송비</v>
          </cell>
          <cell r="F460">
            <v>102571000</v>
          </cell>
        </row>
        <row r="461">
          <cell r="D461" t="str">
            <v>52150200</v>
          </cell>
          <cell r="E461" t="str">
            <v>수송비-반출비-임시차운송비</v>
          </cell>
          <cell r="F461">
            <v>5364000</v>
          </cell>
        </row>
        <row r="462">
          <cell r="D462" t="str">
            <v>52300100</v>
          </cell>
          <cell r="E462" t="str">
            <v>수송비-공장하역비-전산관리직인건비</v>
          </cell>
          <cell r="F462">
            <v>0</v>
          </cell>
        </row>
        <row r="463">
          <cell r="D463" t="str">
            <v>52300200</v>
          </cell>
          <cell r="E463" t="str">
            <v>수송비-공장하역비-하역고정직인건비</v>
          </cell>
          <cell r="F463">
            <v>0</v>
          </cell>
        </row>
        <row r="464">
          <cell r="D464" t="str">
            <v>52300300</v>
          </cell>
          <cell r="E464" t="str">
            <v>수송비-공장하역비-하역임시직인건비</v>
          </cell>
          <cell r="F464">
            <v>0</v>
          </cell>
        </row>
        <row r="465">
          <cell r="D465" t="str">
            <v>52300400</v>
          </cell>
          <cell r="E465" t="str">
            <v>수송비-공장하역비-지게차사용료</v>
          </cell>
          <cell r="F465">
            <v>0</v>
          </cell>
        </row>
        <row r="466">
          <cell r="D466" t="str">
            <v>52300500</v>
          </cell>
          <cell r="E466" t="str">
            <v>수송비-공장하역비-지게차유류대</v>
          </cell>
          <cell r="F466">
            <v>0</v>
          </cell>
        </row>
        <row r="467">
          <cell r="D467" t="str">
            <v>52300600</v>
          </cell>
          <cell r="E467" t="str">
            <v>수송비-공장하역비-파렛트렌탈료</v>
          </cell>
          <cell r="F467">
            <v>58338928</v>
          </cell>
        </row>
        <row r="468">
          <cell r="B468" t="str">
            <v>42317</v>
          </cell>
          <cell r="C468" t="str">
            <v>웅진_식품유구센터</v>
          </cell>
          <cell r="D468" t="str">
            <v>52300800</v>
          </cell>
          <cell r="E468" t="str">
            <v>수송비-공장하역비-물류소모품비</v>
          </cell>
          <cell r="F468">
            <v>0</v>
          </cell>
        </row>
        <row r="469">
          <cell r="B469" t="str">
            <v>42318</v>
          </cell>
          <cell r="C469" t="str">
            <v>공동수송파트(타사)</v>
          </cell>
          <cell r="D469" t="str">
            <v>52100100</v>
          </cell>
          <cell r="E469" t="str">
            <v>수송비-직송비-고정차운송비</v>
          </cell>
          <cell r="F469">
            <v>542296107</v>
          </cell>
        </row>
        <row r="470">
          <cell r="D470" t="str">
            <v>52100200</v>
          </cell>
          <cell r="E470" t="str">
            <v>수송비-직송비-임시차운송비</v>
          </cell>
          <cell r="F470">
            <v>119078423</v>
          </cell>
        </row>
        <row r="471">
          <cell r="D471" t="str">
            <v>52109900</v>
          </cell>
          <cell r="E471" t="str">
            <v>수송비-직송비-기타</v>
          </cell>
          <cell r="F471">
            <v>1069498491</v>
          </cell>
        </row>
        <row r="472">
          <cell r="B472" t="str">
            <v>42318</v>
          </cell>
          <cell r="C472" t="str">
            <v>공동수송파트(타사)</v>
          </cell>
          <cell r="D472" t="str">
            <v>52150200</v>
          </cell>
          <cell r="E472" t="str">
            <v>수송비-반출비-임시차운송비</v>
          </cell>
          <cell r="F472">
            <v>4993000</v>
          </cell>
        </row>
        <row r="473">
          <cell r="B473" t="str">
            <v>42319</v>
          </cell>
          <cell r="C473" t="str">
            <v>인천멀티센터</v>
          </cell>
          <cell r="D473" t="str">
            <v>52100100</v>
          </cell>
          <cell r="E473" t="str">
            <v>수송비-직송비-고정차운송비</v>
          </cell>
          <cell r="F473">
            <v>82732000</v>
          </cell>
        </row>
        <row r="474">
          <cell r="D474" t="str">
            <v>52100200</v>
          </cell>
          <cell r="E474" t="str">
            <v>수송비-직송비-임시차운송비</v>
          </cell>
          <cell r="F474">
            <v>11020000</v>
          </cell>
        </row>
        <row r="475">
          <cell r="D475" t="str">
            <v>52109900</v>
          </cell>
          <cell r="E475" t="str">
            <v>수송비-직송비-기타</v>
          </cell>
          <cell r="F475">
            <v>0</v>
          </cell>
        </row>
        <row r="476">
          <cell r="D476" t="str">
            <v>52150100</v>
          </cell>
          <cell r="E476" t="str">
            <v>수송비-반출비-고정차운송비</v>
          </cell>
          <cell r="F476">
            <v>3935300</v>
          </cell>
        </row>
        <row r="477">
          <cell r="D477" t="str">
            <v>52150200</v>
          </cell>
          <cell r="E477" t="str">
            <v>수송비-반출비-임시차운송비</v>
          </cell>
          <cell r="F477">
            <v>923000</v>
          </cell>
        </row>
        <row r="478">
          <cell r="D478" t="str">
            <v>52300100</v>
          </cell>
          <cell r="E478" t="str">
            <v>수송비-공장하역비-전산관리직인건비</v>
          </cell>
          <cell r="F478">
            <v>7168404</v>
          </cell>
        </row>
        <row r="479">
          <cell r="D479" t="str">
            <v>52300200</v>
          </cell>
          <cell r="E479" t="str">
            <v>수송비-공장하역비-하역고정직인건비</v>
          </cell>
          <cell r="F479">
            <v>21983854</v>
          </cell>
        </row>
        <row r="480">
          <cell r="D480" t="str">
            <v>52300300</v>
          </cell>
          <cell r="E480" t="str">
            <v>수송비-공장하역비-하역임시직인건비</v>
          </cell>
          <cell r="F480">
            <v>0</v>
          </cell>
        </row>
        <row r="481">
          <cell r="D481" t="str">
            <v>52300400</v>
          </cell>
          <cell r="E481" t="str">
            <v>수송비-공장하역비-지게차사용료</v>
          </cell>
          <cell r="F481">
            <v>2936100</v>
          </cell>
        </row>
        <row r="482">
          <cell r="B482" t="str">
            <v>42319</v>
          </cell>
          <cell r="C482" t="str">
            <v>인천멀티센터</v>
          </cell>
          <cell r="D482" t="str">
            <v>52300600</v>
          </cell>
          <cell r="E482" t="str">
            <v>수송비-공장하역비-파렛트렌탈료</v>
          </cell>
          <cell r="F482">
            <v>0</v>
          </cell>
        </row>
        <row r="483">
          <cell r="B483" t="str">
            <v>42321</v>
          </cell>
          <cell r="C483" t="str">
            <v>CJ수송운영(공동)</v>
          </cell>
          <cell r="D483" t="str">
            <v>52100100</v>
          </cell>
          <cell r="E483" t="str">
            <v>수송비-직송비-고정차운송비</v>
          </cell>
          <cell r="F483">
            <v>357490976</v>
          </cell>
        </row>
        <row r="484">
          <cell r="D484" t="str">
            <v>52100200</v>
          </cell>
          <cell r="E484" t="str">
            <v>수송비-직송비-임시차운송비</v>
          </cell>
          <cell r="F484">
            <v>248419638</v>
          </cell>
        </row>
        <row r="485">
          <cell r="B485" t="str">
            <v>42321</v>
          </cell>
          <cell r="C485" t="str">
            <v>CJ수송운영(공동)</v>
          </cell>
          <cell r="D485" t="str">
            <v>52109900</v>
          </cell>
          <cell r="E485" t="str">
            <v>수송비-직송비-기타</v>
          </cell>
          <cell r="F485">
            <v>0</v>
          </cell>
        </row>
        <row r="486">
          <cell r="B486" t="str">
            <v>42323</v>
          </cell>
          <cell r="C486" t="str">
            <v>양산제조센터</v>
          </cell>
          <cell r="D486" t="str">
            <v>52150100</v>
          </cell>
          <cell r="E486" t="str">
            <v>수송비-반출비-고정차운송비</v>
          </cell>
          <cell r="F486">
            <v>5750000</v>
          </cell>
        </row>
        <row r="487">
          <cell r="A487" t="str">
            <v>2005</v>
          </cell>
          <cell r="B487" t="str">
            <v>42397</v>
          </cell>
          <cell r="C487" t="str">
            <v>예정원가용-수송</v>
          </cell>
          <cell r="D487" t="str">
            <v>52300200</v>
          </cell>
          <cell r="E487" t="str">
            <v>수송비-공장하역비-하역고정직인건비</v>
          </cell>
          <cell r="F487">
            <v>-79459350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11319412377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내역"/>
      <sheetName val="근로영수증"/>
      <sheetName val="퇴직영수증"/>
      <sheetName val="이종명근로"/>
      <sheetName val="이병찬퇴직"/>
      <sheetName val="김천수퇴직"/>
      <sheetName val="공성길퇴직"/>
      <sheetName val="공성길근로"/>
      <sheetName val="하영주근로"/>
      <sheetName val="이달우근로"/>
      <sheetName val="이달우퇴직"/>
      <sheetName val="임명희퇴직"/>
      <sheetName val="임명희근로"/>
      <sheetName val="comm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인원현황1 (2)"/>
      <sheetName val="근태자료"/>
      <sheetName val="근무자명단"/>
      <sheetName val="근무자명단 (3)"/>
      <sheetName val="파견대장(2)"/>
      <sheetName val="파견대장(1)"/>
      <sheetName val="부록계약서"/>
      <sheetName val="연장합의서 "/>
      <sheetName val="Sheet2"/>
      <sheetName val="단가표"/>
      <sheetName val="입사"/>
      <sheetName val="계약말료 통보서"/>
      <sheetName val="Sheet1"/>
    </sheetNames>
    <sheetDataSet>
      <sheetData sheetId="0"/>
      <sheetData sheetId="1"/>
      <sheetData sheetId="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18</v>
          </cell>
          <cell r="V1">
            <v>19</v>
          </cell>
          <cell r="W1">
            <v>20</v>
          </cell>
          <cell r="X1">
            <v>21</v>
          </cell>
        </row>
        <row r="2">
          <cell r="A2" t="str">
            <v>이름</v>
          </cell>
          <cell r="B2" t="str">
            <v>생년월일</v>
          </cell>
          <cell r="C2" t="str">
            <v>연령</v>
          </cell>
          <cell r="D2" t="str">
            <v>주민등록번호</v>
          </cell>
          <cell r="E2" t="str">
            <v>파견기간</v>
          </cell>
          <cell r="F2" t="str">
            <v xml:space="preserve">  </v>
          </cell>
          <cell r="G2" t="str">
            <v>입사일자</v>
          </cell>
          <cell r="H2" t="str">
            <v>직무</v>
          </cell>
          <cell r="I2" t="str">
            <v>파견업무내용</v>
          </cell>
          <cell r="J2" t="str">
            <v>상세업무</v>
          </cell>
          <cell r="K2" t="str">
            <v>근무지</v>
          </cell>
          <cell r="L2" t="str">
            <v>소재지</v>
          </cell>
          <cell r="M2" t="str">
            <v>국명</v>
          </cell>
          <cell r="N2" t="str">
            <v>부서명</v>
          </cell>
          <cell r="O2" t="str">
            <v>직위</v>
          </cell>
          <cell r="P2" t="str">
            <v>지휘책임자</v>
          </cell>
          <cell r="Q2" t="str">
            <v>파견료</v>
          </cell>
          <cell r="R2" t="str">
            <v>수습기간</v>
          </cell>
          <cell r="S2" t="str">
            <v>급여</v>
          </cell>
          <cell r="T2" t="str">
            <v>급상여</v>
          </cell>
          <cell r="U2" t="str">
            <v>기본금</v>
          </cell>
          <cell r="V2" t="str">
            <v>주소</v>
          </cell>
          <cell r="W2" t="str">
            <v>전화번호</v>
          </cell>
          <cell r="X2" t="str">
            <v>퇴사일</v>
          </cell>
          <cell r="Y2" t="str">
            <v>e-mail</v>
          </cell>
        </row>
        <row r="3">
          <cell r="A3" t="str">
            <v>곽민경</v>
          </cell>
          <cell r="B3">
            <v>1982</v>
          </cell>
          <cell r="C3">
            <v>22</v>
          </cell>
          <cell r="D3" t="str">
            <v>820913-2017517</v>
          </cell>
          <cell r="E3">
            <v>37795</v>
          </cell>
          <cell r="F3">
            <v>38159</v>
          </cell>
          <cell r="G3">
            <v>37795</v>
          </cell>
          <cell r="H3" t="str">
            <v>비서타자사무원</v>
          </cell>
          <cell r="I3" t="str">
            <v>비서,타자원 및 관련사무원의업무(411)</v>
          </cell>
          <cell r="K3" t="str">
            <v>본사</v>
          </cell>
          <cell r="L3" t="str">
            <v>서울 중구 태평로1가 61번지 조선일보</v>
          </cell>
          <cell r="M3" t="str">
            <v>광고국</v>
          </cell>
          <cell r="N3" t="str">
            <v>광고영업부</v>
          </cell>
          <cell r="O3" t="str">
            <v>부장</v>
          </cell>
          <cell r="Q3">
            <v>1335000</v>
          </cell>
          <cell r="R3">
            <v>0</v>
          </cell>
          <cell r="S3">
            <v>866000</v>
          </cell>
          <cell r="T3">
            <v>1068700</v>
          </cell>
          <cell r="U3">
            <v>608000</v>
          </cell>
        </row>
        <row r="4">
          <cell r="A4" t="str">
            <v>김광섭</v>
          </cell>
          <cell r="B4">
            <v>1948</v>
          </cell>
          <cell r="C4">
            <v>56</v>
          </cell>
          <cell r="D4" t="str">
            <v>850201-1390313</v>
          </cell>
          <cell r="E4">
            <v>37773</v>
          </cell>
          <cell r="F4">
            <v>38137</v>
          </cell>
          <cell r="G4">
            <v>37773</v>
          </cell>
          <cell r="H4" t="str">
            <v>비서타자사무원</v>
          </cell>
          <cell r="I4" t="str">
            <v>비서,타자원 및 관련사무원의업무(411)</v>
          </cell>
          <cell r="K4" t="str">
            <v>본사</v>
          </cell>
          <cell r="L4" t="str">
            <v>서울 중구 태평로1가 61번지 조선일보</v>
          </cell>
          <cell r="M4" t="str">
            <v>출판국</v>
          </cell>
          <cell r="Q4">
            <v>1291000</v>
          </cell>
          <cell r="R4">
            <v>1058000</v>
          </cell>
          <cell r="S4">
            <v>831000</v>
          </cell>
          <cell r="T4">
            <v>1033700</v>
          </cell>
          <cell r="U4">
            <v>608000</v>
          </cell>
        </row>
        <row r="5">
          <cell r="A5" t="str">
            <v>김미숙</v>
          </cell>
          <cell r="B5">
            <v>1977</v>
          </cell>
          <cell r="C5">
            <v>27</v>
          </cell>
          <cell r="D5" t="str">
            <v>760218-2550818</v>
          </cell>
          <cell r="E5">
            <v>37773</v>
          </cell>
          <cell r="F5">
            <v>38137</v>
          </cell>
          <cell r="G5">
            <v>37773</v>
          </cell>
          <cell r="H5" t="str">
            <v>비서타자사무원</v>
          </cell>
          <cell r="I5" t="str">
            <v>비서,타자원 및 관련사무원의업무(411)</v>
          </cell>
          <cell r="K5" t="str">
            <v>광주</v>
          </cell>
          <cell r="L5" t="str">
            <v>서울 중구 태평로1가 61번지 조선일보</v>
          </cell>
          <cell r="M5" t="str">
            <v>편집국</v>
          </cell>
          <cell r="N5" t="str">
            <v>사회부</v>
          </cell>
          <cell r="Q5">
            <v>1868000</v>
          </cell>
          <cell r="R5">
            <v>0</v>
          </cell>
          <cell r="S5">
            <v>1279000</v>
          </cell>
          <cell r="T5">
            <v>1495400</v>
          </cell>
          <cell r="U5">
            <v>649000</v>
          </cell>
        </row>
        <row r="6">
          <cell r="A6" t="str">
            <v>김미아</v>
          </cell>
          <cell r="B6">
            <v>1978</v>
          </cell>
          <cell r="C6">
            <v>26</v>
          </cell>
          <cell r="D6" t="str">
            <v>810403-2183518</v>
          </cell>
          <cell r="E6">
            <v>37782</v>
          </cell>
          <cell r="F6">
            <v>38146</v>
          </cell>
          <cell r="G6">
            <v>37782</v>
          </cell>
          <cell r="H6" t="str">
            <v>비서타자사무원</v>
          </cell>
          <cell r="I6" t="str">
            <v>비서,타자원 및 관련사무원의업무(411)</v>
          </cell>
          <cell r="K6" t="str">
            <v>본사</v>
          </cell>
          <cell r="L6" t="str">
            <v>서울 중구 태평로1가 61번지 조선일보</v>
          </cell>
          <cell r="M6" t="str">
            <v>비서실</v>
          </cell>
          <cell r="Q6">
            <v>1474000</v>
          </cell>
          <cell r="R6">
            <v>0</v>
          </cell>
          <cell r="S6">
            <v>977000</v>
          </cell>
          <cell r="T6">
            <v>1179700</v>
          </cell>
          <cell r="U6">
            <v>608000</v>
          </cell>
        </row>
        <row r="7">
          <cell r="A7" t="str">
            <v>김진민</v>
          </cell>
          <cell r="B7">
            <v>1953</v>
          </cell>
          <cell r="C7">
            <v>51</v>
          </cell>
          <cell r="D7" t="str">
            <v>810420-1915419</v>
          </cell>
          <cell r="E7">
            <v>37888</v>
          </cell>
          <cell r="F7">
            <v>38252</v>
          </cell>
          <cell r="G7">
            <v>37888</v>
          </cell>
          <cell r="H7" t="str">
            <v>도서우편사무원</v>
          </cell>
          <cell r="I7" t="str">
            <v>도서,우편 및 관련사무원의업무(414)</v>
          </cell>
          <cell r="K7" t="str">
            <v>본사</v>
          </cell>
          <cell r="L7" t="str">
            <v>서울 중구 태평로1가 61번지 조선일보</v>
          </cell>
          <cell r="M7" t="str">
            <v>제작국</v>
          </cell>
          <cell r="N7" t="str">
            <v>윤전부</v>
          </cell>
          <cell r="Q7">
            <v>1291000</v>
          </cell>
          <cell r="R7">
            <v>1058000</v>
          </cell>
          <cell r="S7">
            <v>831000</v>
          </cell>
          <cell r="T7">
            <v>1033700</v>
          </cell>
          <cell r="U7">
            <v>608000</v>
          </cell>
        </row>
        <row r="8">
          <cell r="A8" t="str">
            <v>박경순</v>
          </cell>
          <cell r="B8">
            <v>1976</v>
          </cell>
          <cell r="C8">
            <v>28</v>
          </cell>
          <cell r="D8" t="str">
            <v>820416-2019611</v>
          </cell>
          <cell r="E8">
            <v>37773</v>
          </cell>
          <cell r="F8">
            <v>38137</v>
          </cell>
          <cell r="G8">
            <v>37773</v>
          </cell>
          <cell r="H8" t="str">
            <v>비서타자사무원</v>
          </cell>
          <cell r="I8" t="str">
            <v>비서,타자원 및 관련사무원의업무(411)</v>
          </cell>
          <cell r="J8" t="str">
            <v>타자사무원</v>
          </cell>
          <cell r="K8" t="str">
            <v>본사</v>
          </cell>
          <cell r="L8" t="str">
            <v>서울 중구 태평로1가 61번지 조선일보</v>
          </cell>
          <cell r="M8" t="str">
            <v>편집국</v>
          </cell>
          <cell r="N8" t="str">
            <v>편집부</v>
          </cell>
          <cell r="Q8">
            <v>1428000</v>
          </cell>
          <cell r="R8">
            <v>0</v>
          </cell>
          <cell r="S8">
            <v>1140000</v>
          </cell>
          <cell r="T8">
            <v>1142700</v>
          </cell>
          <cell r="U8">
            <v>608000</v>
          </cell>
        </row>
        <row r="9">
          <cell r="A9" t="str">
            <v>박상희</v>
          </cell>
          <cell r="B9">
            <v>1975</v>
          </cell>
          <cell r="C9">
            <v>29</v>
          </cell>
          <cell r="D9" t="str">
            <v>800824-2068919</v>
          </cell>
          <cell r="E9">
            <v>37773</v>
          </cell>
          <cell r="F9">
            <v>38137</v>
          </cell>
          <cell r="G9">
            <v>37773</v>
          </cell>
          <cell r="H9" t="str">
            <v>컴퓨터보조원</v>
          </cell>
          <cell r="I9" t="str">
            <v>컴퓨터보조원의업무(3121)</v>
          </cell>
          <cell r="J9" t="str">
            <v>컴퓨터데이타베이스분석준전문가</v>
          </cell>
          <cell r="K9" t="str">
            <v>본사</v>
          </cell>
          <cell r="L9" t="str">
            <v>서울 중구 태평로1가 61번지 조선일보</v>
          </cell>
          <cell r="M9" t="str">
            <v>편집국</v>
          </cell>
          <cell r="N9" t="str">
            <v>편집부</v>
          </cell>
          <cell r="Q9">
            <v>1865000</v>
          </cell>
          <cell r="R9">
            <v>1631000</v>
          </cell>
          <cell r="S9">
            <v>1140000</v>
          </cell>
          <cell r="T9">
            <v>2502400</v>
          </cell>
          <cell r="U9">
            <v>608000</v>
          </cell>
        </row>
        <row r="10">
          <cell r="A10" t="str">
            <v>박신애</v>
          </cell>
          <cell r="B10">
            <v>1978</v>
          </cell>
          <cell r="C10">
            <v>26</v>
          </cell>
          <cell r="D10" t="str">
            <v>810111-2012011</v>
          </cell>
          <cell r="E10">
            <v>38056</v>
          </cell>
          <cell r="F10">
            <v>38420</v>
          </cell>
          <cell r="G10">
            <v>38056</v>
          </cell>
          <cell r="H10" t="str">
            <v>기록보관원</v>
          </cell>
          <cell r="I10" t="str">
            <v>기록보관원,사서 및 관련정보전문가의업무(243)</v>
          </cell>
          <cell r="K10" t="str">
            <v>본사</v>
          </cell>
          <cell r="L10" t="str">
            <v>서울 중구 태평로1가 61번지 조선일보</v>
          </cell>
          <cell r="M10" t="str">
            <v>정보자료실</v>
          </cell>
          <cell r="Q10">
            <v>1706000</v>
          </cell>
          <cell r="R10">
            <v>1402000</v>
          </cell>
          <cell r="S10">
            <v>2135000</v>
          </cell>
          <cell r="T10">
            <v>2502400</v>
          </cell>
          <cell r="U10">
            <v>1102000</v>
          </cell>
        </row>
        <row r="11">
          <cell r="A11" t="str">
            <v>박효영</v>
          </cell>
          <cell r="B11">
            <v>1979</v>
          </cell>
          <cell r="C11">
            <v>25</v>
          </cell>
          <cell r="D11" t="str">
            <v>810107-2783411</v>
          </cell>
          <cell r="E11">
            <v>37773</v>
          </cell>
          <cell r="F11">
            <v>38137</v>
          </cell>
          <cell r="G11">
            <v>37773</v>
          </cell>
          <cell r="H11" t="str">
            <v>상업디자이너</v>
          </cell>
          <cell r="I11" t="str">
            <v>예술,연애 및 경기 준전문가의업무(347)</v>
          </cell>
          <cell r="J11" t="str">
            <v>상업디자이너</v>
          </cell>
          <cell r="K11" t="str">
            <v>본사</v>
          </cell>
          <cell r="L11" t="str">
            <v>서울 중구 태평로1가 61번지 조선일보</v>
          </cell>
          <cell r="M11" t="str">
            <v>광고국</v>
          </cell>
          <cell r="N11" t="str">
            <v>광고지원부</v>
          </cell>
          <cell r="Q11">
            <v>1732000</v>
          </cell>
          <cell r="R11">
            <v>0</v>
          </cell>
          <cell r="S11">
            <v>1157000</v>
          </cell>
          <cell r="T11">
            <v>1386000</v>
          </cell>
          <cell r="U11">
            <v>687000</v>
          </cell>
        </row>
        <row r="12">
          <cell r="A12" t="str">
            <v>서민경</v>
          </cell>
          <cell r="B12">
            <v>1978</v>
          </cell>
          <cell r="C12">
            <v>26</v>
          </cell>
          <cell r="D12" t="str">
            <v>820407-2031811</v>
          </cell>
          <cell r="E12">
            <v>38050</v>
          </cell>
          <cell r="F12">
            <v>38414</v>
          </cell>
          <cell r="G12">
            <v>38050</v>
          </cell>
          <cell r="H12" t="str">
            <v>비서타자사무원</v>
          </cell>
          <cell r="I12" t="str">
            <v>비서,타자원 및 관련사무원의업무(411)</v>
          </cell>
          <cell r="K12" t="str">
            <v>본사</v>
          </cell>
          <cell r="L12" t="str">
            <v>서울 중구 태평로1가 61번지 조선일보</v>
          </cell>
          <cell r="M12" t="str">
            <v>독자서비스센터</v>
          </cell>
          <cell r="Q12">
            <v>1291000</v>
          </cell>
          <cell r="R12">
            <v>1058000</v>
          </cell>
          <cell r="S12">
            <v>831000</v>
          </cell>
          <cell r="T12">
            <v>1033700</v>
          </cell>
          <cell r="U12">
            <v>608000</v>
          </cell>
        </row>
        <row r="13">
          <cell r="A13" t="str">
            <v>석혜민</v>
          </cell>
          <cell r="B13">
            <v>1981</v>
          </cell>
          <cell r="C13">
            <v>23</v>
          </cell>
          <cell r="D13" t="str">
            <v>820225-2460016</v>
          </cell>
          <cell r="E13">
            <v>37774</v>
          </cell>
          <cell r="F13">
            <v>38138</v>
          </cell>
          <cell r="G13">
            <v>37774</v>
          </cell>
          <cell r="H13" t="str">
            <v>비서타자사무원</v>
          </cell>
          <cell r="I13" t="str">
            <v>비서,타자원 및 관련사무원의업무(411)</v>
          </cell>
          <cell r="K13" t="str">
            <v>본사</v>
          </cell>
          <cell r="L13" t="str">
            <v>서울 중구 태평로1가 61번지 조선일보</v>
          </cell>
          <cell r="M13" t="str">
            <v>판매국</v>
          </cell>
          <cell r="N13" t="str">
            <v>수판1부</v>
          </cell>
          <cell r="Q13">
            <v>1291000</v>
          </cell>
          <cell r="R13">
            <v>1058000</v>
          </cell>
          <cell r="S13">
            <v>831000</v>
          </cell>
          <cell r="T13">
            <v>1033700</v>
          </cell>
          <cell r="U13">
            <v>608000</v>
          </cell>
        </row>
        <row r="14">
          <cell r="A14" t="str">
            <v>송다운</v>
          </cell>
          <cell r="B14">
            <v>1973</v>
          </cell>
          <cell r="C14">
            <v>31</v>
          </cell>
          <cell r="D14" t="str">
            <v>850114-1156417</v>
          </cell>
          <cell r="E14">
            <v>37809</v>
          </cell>
          <cell r="F14">
            <v>38173</v>
          </cell>
          <cell r="G14">
            <v>37809</v>
          </cell>
          <cell r="H14" t="str">
            <v>비서타자사무원</v>
          </cell>
          <cell r="I14" t="str">
            <v>비서,타자원 및 관련사무원의업무(411)</v>
          </cell>
          <cell r="K14" t="str">
            <v>본사</v>
          </cell>
          <cell r="L14" t="str">
            <v>서울 중구 태평로1가 61번지 조선일보</v>
          </cell>
          <cell r="M14" t="str">
            <v>소년편집실</v>
          </cell>
          <cell r="Q14">
            <v>1291000</v>
          </cell>
          <cell r="R14">
            <v>1058000</v>
          </cell>
          <cell r="S14">
            <v>831000</v>
          </cell>
          <cell r="T14">
            <v>1033700</v>
          </cell>
          <cell r="U14">
            <v>608000</v>
          </cell>
        </row>
        <row r="15">
          <cell r="A15" t="str">
            <v>안월상</v>
          </cell>
          <cell r="B15">
            <v>1983</v>
          </cell>
          <cell r="C15">
            <v>21</v>
          </cell>
          <cell r="D15" t="str">
            <v>820301-2360614</v>
          </cell>
          <cell r="E15">
            <v>38083</v>
          </cell>
          <cell r="F15">
            <v>38447</v>
          </cell>
          <cell r="G15">
            <v>38083</v>
          </cell>
          <cell r="H15" t="str">
            <v>컴퓨터보조원</v>
          </cell>
          <cell r="I15" t="str">
            <v>컴퓨터보조원의업무(3121)</v>
          </cell>
          <cell r="J15" t="str">
            <v>컴퓨터데이타베이스분석준전문가</v>
          </cell>
          <cell r="K15" t="str">
            <v>본사</v>
          </cell>
          <cell r="L15" t="str">
            <v>서울 중구 태평로1가 61번지 조선일보</v>
          </cell>
          <cell r="M15" t="str">
            <v>편집국</v>
          </cell>
          <cell r="N15" t="str">
            <v>편집부</v>
          </cell>
          <cell r="Q15">
            <v>1865000</v>
          </cell>
          <cell r="R15">
            <v>1631000</v>
          </cell>
          <cell r="S15">
            <v>1140000</v>
          </cell>
          <cell r="T15">
            <v>1342700</v>
          </cell>
          <cell r="U15">
            <v>608000</v>
          </cell>
        </row>
        <row r="16">
          <cell r="A16" t="str">
            <v>양승관</v>
          </cell>
          <cell r="B16">
            <v>1977</v>
          </cell>
          <cell r="C16">
            <v>27</v>
          </cell>
          <cell r="D16" t="str">
            <v>840926-1076329</v>
          </cell>
          <cell r="E16">
            <v>38016</v>
          </cell>
          <cell r="F16">
            <v>38380</v>
          </cell>
          <cell r="G16">
            <v>38016</v>
          </cell>
          <cell r="H16" t="str">
            <v>도서우편사무원</v>
          </cell>
          <cell r="I16" t="str">
            <v>도서,우편 및 관련사무원의업무(414)</v>
          </cell>
          <cell r="K16" t="str">
            <v>본사</v>
          </cell>
          <cell r="L16" t="str">
            <v>서울 중구 태평로1가 61번지 조선일보</v>
          </cell>
          <cell r="M16" t="str">
            <v>판매국</v>
          </cell>
          <cell r="Q16">
            <v>1291000</v>
          </cell>
          <cell r="R16">
            <v>1058000</v>
          </cell>
          <cell r="S16">
            <v>831000</v>
          </cell>
          <cell r="T16">
            <v>1033700</v>
          </cell>
          <cell r="U16">
            <v>608000</v>
          </cell>
        </row>
        <row r="17">
          <cell r="A17" t="str">
            <v>양진미</v>
          </cell>
          <cell r="B17">
            <v>1980</v>
          </cell>
          <cell r="C17">
            <v>24</v>
          </cell>
          <cell r="D17" t="str">
            <v>771204-2920612</v>
          </cell>
          <cell r="E17">
            <v>37811</v>
          </cell>
          <cell r="F17">
            <v>38175</v>
          </cell>
          <cell r="G17">
            <v>37811</v>
          </cell>
          <cell r="H17" t="str">
            <v>비서타자사무원</v>
          </cell>
          <cell r="I17" t="str">
            <v>비서,타자원 및 관련사무원의업무(411)</v>
          </cell>
          <cell r="J17" t="str">
            <v>타자사무원</v>
          </cell>
          <cell r="K17" t="str">
            <v>영남본부</v>
          </cell>
          <cell r="L17" t="str">
            <v>서울 중구 태평로1가 61번지 조선일보</v>
          </cell>
          <cell r="M17" t="str">
            <v>편집국</v>
          </cell>
          <cell r="N17" t="str">
            <v>사회부</v>
          </cell>
          <cell r="Q17">
            <v>1734000</v>
          </cell>
          <cell r="R17">
            <v>1507000</v>
          </cell>
          <cell r="S17" t="e">
            <v>#N/A</v>
          </cell>
          <cell r="T17" t="e">
            <v>#N/A</v>
          </cell>
          <cell r="U17" t="e">
            <v>#N/A</v>
          </cell>
        </row>
        <row r="18">
          <cell r="A18" t="str">
            <v>이세련</v>
          </cell>
          <cell r="B18">
            <v>1979</v>
          </cell>
          <cell r="C18">
            <v>25</v>
          </cell>
          <cell r="D18" t="str">
            <v>830120-2235120</v>
          </cell>
          <cell r="E18">
            <v>37805</v>
          </cell>
          <cell r="F18">
            <v>38169</v>
          </cell>
          <cell r="G18">
            <v>37805</v>
          </cell>
          <cell r="H18" t="str">
            <v>비서타자사무원</v>
          </cell>
          <cell r="I18" t="str">
            <v>비서,타자원 및 관련사무원의업무(411)</v>
          </cell>
          <cell r="J18" t="str">
            <v>타자사무원</v>
          </cell>
          <cell r="K18" t="str">
            <v>본사</v>
          </cell>
          <cell r="L18" t="str">
            <v>서울 중구 태평로1가 61번지 조선일보</v>
          </cell>
          <cell r="M18" t="str">
            <v>총무국</v>
          </cell>
          <cell r="N18" t="str">
            <v>총무부</v>
          </cell>
          <cell r="Q18">
            <v>1291000</v>
          </cell>
          <cell r="R18">
            <v>1058000</v>
          </cell>
          <cell r="S18">
            <v>831000</v>
          </cell>
          <cell r="T18">
            <v>1033700</v>
          </cell>
          <cell r="U18">
            <v>608000</v>
          </cell>
        </row>
        <row r="19">
          <cell r="A19" t="str">
            <v>이은영</v>
          </cell>
          <cell r="B19">
            <v>1955</v>
          </cell>
          <cell r="C19">
            <v>49</v>
          </cell>
          <cell r="D19" t="str">
            <v>790710-2051816</v>
          </cell>
          <cell r="E19">
            <v>38085</v>
          </cell>
          <cell r="F19">
            <v>38449</v>
          </cell>
          <cell r="G19">
            <v>38085</v>
          </cell>
          <cell r="H19" t="str">
            <v>비서타자사무원</v>
          </cell>
          <cell r="I19" t="str">
            <v>비서,타자원 및 관련사무원의업무(411)</v>
          </cell>
          <cell r="J19" t="str">
            <v>타자사무원</v>
          </cell>
          <cell r="K19" t="str">
            <v>본사</v>
          </cell>
          <cell r="L19" t="str">
            <v>서울 중구 태평로1가 61번지 조선일보</v>
          </cell>
          <cell r="M19" t="str">
            <v>출판국</v>
          </cell>
          <cell r="N19" t="str">
            <v>출판부</v>
          </cell>
          <cell r="Q19">
            <v>2120000</v>
          </cell>
          <cell r="R19">
            <v>1776000</v>
          </cell>
          <cell r="S19">
            <v>1399000</v>
          </cell>
          <cell r="T19">
            <v>1697000</v>
          </cell>
          <cell r="U19">
            <v>894000</v>
          </cell>
        </row>
        <row r="20">
          <cell r="A20" t="str">
            <v>이정준</v>
          </cell>
          <cell r="B20">
            <v>1981</v>
          </cell>
          <cell r="C20">
            <v>23</v>
          </cell>
          <cell r="D20" t="str">
            <v>840209-1005723</v>
          </cell>
          <cell r="E20">
            <v>37895</v>
          </cell>
          <cell r="F20">
            <v>38259</v>
          </cell>
          <cell r="G20">
            <v>37895</v>
          </cell>
          <cell r="H20" t="str">
            <v>도서우편사무원</v>
          </cell>
          <cell r="I20" t="str">
            <v>도서,우편 및 관련사무원의업무(414)</v>
          </cell>
          <cell r="K20" t="str">
            <v>본사</v>
          </cell>
          <cell r="L20" t="str">
            <v>서울 중구 태평로1가 61번지 조선일보</v>
          </cell>
          <cell r="M20" t="str">
            <v>출판국</v>
          </cell>
          <cell r="Q20">
            <v>1291000</v>
          </cell>
          <cell r="R20">
            <v>1058000</v>
          </cell>
          <cell r="S20">
            <v>831000</v>
          </cell>
          <cell r="T20">
            <v>1033700</v>
          </cell>
          <cell r="U20">
            <v>608000</v>
          </cell>
        </row>
        <row r="21">
          <cell r="A21" t="str">
            <v>이태무</v>
          </cell>
          <cell r="B21">
            <v>1979</v>
          </cell>
          <cell r="C21">
            <v>25</v>
          </cell>
          <cell r="D21" t="str">
            <v>760929-1057311</v>
          </cell>
          <cell r="E21">
            <v>37936</v>
          </cell>
          <cell r="F21">
            <v>38300</v>
          </cell>
          <cell r="G21">
            <v>37936</v>
          </cell>
          <cell r="H21" t="str">
            <v>수금원</v>
          </cell>
          <cell r="I21" t="str">
            <v>수금원 및 관련근로자의 업무(4215)</v>
          </cell>
          <cell r="K21" t="str">
            <v>본사</v>
          </cell>
          <cell r="L21" t="str">
            <v>서울 중구 태평로1가 61번지 조선일보</v>
          </cell>
          <cell r="M21" t="str">
            <v>출판국</v>
          </cell>
          <cell r="N21" t="str">
            <v>출판판매부</v>
          </cell>
          <cell r="Q21">
            <v>1778000</v>
          </cell>
          <cell r="R21">
            <v>1511000</v>
          </cell>
          <cell r="S21">
            <v>1191000</v>
          </cell>
          <cell r="T21">
            <v>1431000</v>
          </cell>
          <cell r="U21">
            <v>720000</v>
          </cell>
        </row>
        <row r="22">
          <cell r="A22" t="str">
            <v>장승미</v>
          </cell>
          <cell r="B22">
            <v>1979</v>
          </cell>
          <cell r="C22">
            <v>25</v>
          </cell>
          <cell r="D22" t="str">
            <v>810602-2012017</v>
          </cell>
          <cell r="E22">
            <v>37782</v>
          </cell>
          <cell r="F22">
            <v>38146</v>
          </cell>
          <cell r="G22">
            <v>37782</v>
          </cell>
          <cell r="H22" t="str">
            <v>비서타자사무원</v>
          </cell>
          <cell r="I22" t="str">
            <v>비서,타자원 및 관련사무원의업무(411)</v>
          </cell>
          <cell r="K22" t="str">
            <v>본사</v>
          </cell>
          <cell r="L22" t="str">
            <v>서울 중구 태평로1가 61번지 조선일보</v>
          </cell>
          <cell r="M22" t="str">
            <v>편집국</v>
          </cell>
          <cell r="Q22">
            <v>1428000</v>
          </cell>
          <cell r="R22">
            <v>0</v>
          </cell>
          <cell r="S22">
            <v>940000</v>
          </cell>
          <cell r="T22">
            <v>1142700</v>
          </cell>
          <cell r="U22">
            <v>608000</v>
          </cell>
        </row>
        <row r="23">
          <cell r="A23" t="str">
            <v>정미란</v>
          </cell>
          <cell r="B23">
            <v>1978</v>
          </cell>
          <cell r="C23">
            <v>26</v>
          </cell>
          <cell r="D23" t="str">
            <v>821003-2455216</v>
          </cell>
          <cell r="E23">
            <v>38035</v>
          </cell>
          <cell r="F23">
            <v>38399</v>
          </cell>
          <cell r="G23">
            <v>38035</v>
          </cell>
          <cell r="H23" t="str">
            <v>비서타자사무원</v>
          </cell>
          <cell r="I23" t="str">
            <v>비서,타자원 및 관련사무원의업무(411)</v>
          </cell>
          <cell r="K23" t="str">
            <v>본사</v>
          </cell>
          <cell r="L23" t="str">
            <v>서울 중구 태평로1가 61번지 조선일보</v>
          </cell>
          <cell r="M23" t="str">
            <v>출판국</v>
          </cell>
          <cell r="N23" t="str">
            <v>출판판매부</v>
          </cell>
          <cell r="Q23">
            <v>1291000</v>
          </cell>
          <cell r="R23">
            <v>1058000</v>
          </cell>
          <cell r="S23">
            <v>831000</v>
          </cell>
          <cell r="T23">
            <v>1033700</v>
          </cell>
          <cell r="U23">
            <v>608000</v>
          </cell>
        </row>
        <row r="24">
          <cell r="A24" t="str">
            <v>허현정</v>
          </cell>
          <cell r="B24">
            <v>1967</v>
          </cell>
          <cell r="C24">
            <v>37</v>
          </cell>
          <cell r="D24" t="str">
            <v>790714-2823815</v>
          </cell>
          <cell r="E24">
            <v>37773</v>
          </cell>
          <cell r="F24">
            <v>38137</v>
          </cell>
          <cell r="G24">
            <v>37773</v>
          </cell>
          <cell r="H24" t="str">
            <v>컴퓨터전문가</v>
          </cell>
          <cell r="I24" t="str">
            <v>컴퓨터전문가의업무(213)</v>
          </cell>
          <cell r="J24" t="str">
            <v>데이타베이스관리자</v>
          </cell>
          <cell r="K24" t="str">
            <v>본사</v>
          </cell>
          <cell r="L24" t="str">
            <v>서울 중구 태평로1가 61번지 조선일보</v>
          </cell>
          <cell r="M24" t="str">
            <v>정보자료실</v>
          </cell>
          <cell r="Q24">
            <v>1807000</v>
          </cell>
          <cell r="R24">
            <v>0</v>
          </cell>
          <cell r="S24">
            <v>1164000</v>
          </cell>
          <cell r="T24">
            <v>1446400</v>
          </cell>
          <cell r="U24">
            <v>847000</v>
          </cell>
        </row>
        <row r="25">
          <cell r="A25" t="str">
            <v>홍혜니</v>
          </cell>
          <cell r="B25">
            <v>1977</v>
          </cell>
          <cell r="C25">
            <v>27</v>
          </cell>
          <cell r="D25" t="str">
            <v>820803-2161911</v>
          </cell>
          <cell r="E25">
            <v>37773</v>
          </cell>
          <cell r="F25">
            <v>38137</v>
          </cell>
          <cell r="G25">
            <v>37773</v>
          </cell>
          <cell r="H25" t="str">
            <v>비서타자사무원</v>
          </cell>
          <cell r="I25" t="str">
            <v>비서,타자원 및 관련사무원의업무(411)</v>
          </cell>
          <cell r="K25" t="str">
            <v>본사</v>
          </cell>
          <cell r="L25" t="str">
            <v>서울 중구 태평로1가 61번지 조선일보</v>
          </cell>
          <cell r="M25" t="str">
            <v>총무국</v>
          </cell>
          <cell r="N25" t="str">
            <v xml:space="preserve">관리부 </v>
          </cell>
          <cell r="Q25">
            <v>1291000</v>
          </cell>
          <cell r="R25">
            <v>1058000</v>
          </cell>
          <cell r="S25">
            <v>831000</v>
          </cell>
          <cell r="T25">
            <v>1033700</v>
          </cell>
          <cell r="U25">
            <v>608000</v>
          </cell>
        </row>
        <row r="26">
          <cell r="A26" t="str">
            <v>김지애</v>
          </cell>
          <cell r="B26">
            <v>1979</v>
          </cell>
          <cell r="C26">
            <v>25</v>
          </cell>
          <cell r="D26" t="str">
            <v>791231-2173811</v>
          </cell>
          <cell r="E26">
            <v>38231</v>
          </cell>
          <cell r="F26">
            <v>38595</v>
          </cell>
          <cell r="G26">
            <v>38231</v>
          </cell>
          <cell r="H26" t="str">
            <v>전화교환</v>
          </cell>
          <cell r="K26" t="str">
            <v>본사</v>
          </cell>
          <cell r="L26" t="str">
            <v>서울 중구 태평로1가 61번지 조선일보</v>
          </cell>
          <cell r="M26" t="str">
            <v>총무국</v>
          </cell>
          <cell r="N26" t="str">
            <v xml:space="preserve">관리부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"/>
      <sheetName val="2003계약서"/>
      <sheetName val="2004계약서"/>
      <sheetName val="2004계약서-재"/>
      <sheetName val="2005계약서"/>
      <sheetName val="2005계약서-재"/>
      <sheetName val="2003계약서 (2)"/>
      <sheetName val="Sheet1"/>
      <sheetName val="2005계약서-재 (2)"/>
    </sheetNames>
    <sheetDataSet>
      <sheetData sheetId="0">
        <row r="1">
          <cell r="A1" t="str">
            <v>순번</v>
          </cell>
          <cell r="B1" t="str">
            <v>출생년도</v>
          </cell>
          <cell r="C1" t="str">
            <v>성명</v>
          </cell>
          <cell r="D1" t="str">
            <v>연령</v>
          </cell>
          <cell r="E1" t="str">
            <v>주민등록번호</v>
          </cell>
          <cell r="F1" t="str">
            <v>파견기간</v>
          </cell>
          <cell r="G1" t="str">
            <v>파견업무내용</v>
          </cell>
          <cell r="H1" t="str">
            <v>사업장명</v>
          </cell>
          <cell r="I1" t="str">
            <v>소재지</v>
          </cell>
          <cell r="J1" t="str">
            <v>근무부서</v>
          </cell>
          <cell r="K1" t="str">
            <v>소속</v>
          </cell>
          <cell r="L1" t="str">
            <v>직위</v>
          </cell>
          <cell r="M1" t="str">
            <v>성명</v>
          </cell>
          <cell r="N1" t="str">
            <v>파견료</v>
          </cell>
          <cell r="O1" t="str">
            <v>수습</v>
          </cell>
        </row>
        <row r="2">
          <cell r="A2">
            <v>1</v>
          </cell>
          <cell r="B2">
            <v>82</v>
          </cell>
          <cell r="C2" t="str">
            <v>석혜민</v>
          </cell>
          <cell r="D2">
            <v>22</v>
          </cell>
          <cell r="E2" t="str">
            <v>820225-2460016</v>
          </cell>
          <cell r="F2" t="str">
            <v>2003.06.02</v>
          </cell>
          <cell r="G2" t="str">
            <v>비서,타자사무원(411)</v>
          </cell>
          <cell r="H2" t="str">
            <v>수판1부</v>
          </cell>
          <cell r="I2" t="str">
            <v>서울 중구 태평로 1가 61</v>
          </cell>
          <cell r="J2" t="str">
            <v>수판1부</v>
          </cell>
          <cell r="K2" t="str">
            <v>수판1부</v>
          </cell>
          <cell r="L2" t="str">
            <v>부장</v>
          </cell>
          <cell r="M2" t="str">
            <v>김동환</v>
          </cell>
          <cell r="N2">
            <v>1291000</v>
          </cell>
          <cell r="O2">
            <v>1058000</v>
          </cell>
        </row>
        <row r="3">
          <cell r="A3">
            <v>2</v>
          </cell>
          <cell r="B3">
            <v>81</v>
          </cell>
          <cell r="C3" t="str">
            <v>김미아</v>
          </cell>
          <cell r="D3">
            <v>23</v>
          </cell>
          <cell r="E3" t="str">
            <v>810403-2183518</v>
          </cell>
          <cell r="F3" t="str">
            <v>2003.06.10</v>
          </cell>
          <cell r="G3" t="str">
            <v>비서,타자사무원(411)</v>
          </cell>
          <cell r="H3" t="str">
            <v>비서실</v>
          </cell>
          <cell r="I3" t="str">
            <v>서울 중구 태평로 1가 61</v>
          </cell>
          <cell r="J3" t="str">
            <v>비서실</v>
          </cell>
          <cell r="K3" t="str">
            <v>비서실</v>
          </cell>
          <cell r="L3" t="str">
            <v>부장</v>
          </cell>
          <cell r="M3" t="str">
            <v>박금자</v>
          </cell>
          <cell r="N3">
            <v>1474000</v>
          </cell>
        </row>
        <row r="4">
          <cell r="A4">
            <v>3</v>
          </cell>
          <cell r="B4">
            <v>81</v>
          </cell>
          <cell r="C4" t="str">
            <v>장승미</v>
          </cell>
          <cell r="D4">
            <v>23</v>
          </cell>
          <cell r="E4" t="str">
            <v>810602-2012017</v>
          </cell>
          <cell r="F4" t="str">
            <v>2003.06.10</v>
          </cell>
          <cell r="G4" t="str">
            <v>비서,타자사무원(411)</v>
          </cell>
          <cell r="H4" t="str">
            <v>편집국</v>
          </cell>
          <cell r="I4" t="str">
            <v>서울 중구 태평로 1가 61</v>
          </cell>
          <cell r="J4" t="str">
            <v>편집국</v>
          </cell>
          <cell r="K4" t="str">
            <v>편집국</v>
          </cell>
          <cell r="L4" t="str">
            <v>국장</v>
          </cell>
          <cell r="M4" t="str">
            <v>이상철</v>
          </cell>
          <cell r="N4">
            <v>1428000</v>
          </cell>
        </row>
        <row r="5">
          <cell r="A5">
            <v>4</v>
          </cell>
          <cell r="B5">
            <v>82</v>
          </cell>
          <cell r="C5" t="str">
            <v>곽민경</v>
          </cell>
          <cell r="D5">
            <v>22</v>
          </cell>
          <cell r="E5" t="str">
            <v>820913-2017517</v>
          </cell>
          <cell r="F5" t="str">
            <v>2003.06.23</v>
          </cell>
          <cell r="G5" t="str">
            <v>비서,타자사무원(411)</v>
          </cell>
          <cell r="H5" t="str">
            <v>광고영업부</v>
          </cell>
          <cell r="I5" t="str">
            <v>서울 중구 태평로 1가 61</v>
          </cell>
          <cell r="J5" t="str">
            <v>광고영업부</v>
          </cell>
          <cell r="K5" t="str">
            <v>광고영업부</v>
          </cell>
          <cell r="L5" t="str">
            <v>부장</v>
          </cell>
          <cell r="M5" t="str">
            <v>김광현</v>
          </cell>
          <cell r="N5">
            <v>1335000</v>
          </cell>
        </row>
        <row r="6">
          <cell r="A6">
            <v>5</v>
          </cell>
          <cell r="B6">
            <v>77</v>
          </cell>
          <cell r="C6" t="str">
            <v>양진미</v>
          </cell>
          <cell r="D6">
            <v>27</v>
          </cell>
          <cell r="E6" t="str">
            <v>771204-2920612</v>
          </cell>
          <cell r="F6" t="str">
            <v>2003.07.09</v>
          </cell>
          <cell r="G6" t="str">
            <v>비서,타자사무원(411)</v>
          </cell>
          <cell r="H6" t="str">
            <v>영남취재팀</v>
          </cell>
          <cell r="I6" t="str">
            <v>부산광역시 동구 초량3동 1198-7 조선일보사옥 9층</v>
          </cell>
          <cell r="J6" t="str">
            <v>영남취재팀</v>
          </cell>
          <cell r="K6" t="str">
            <v>영남취재팀</v>
          </cell>
          <cell r="L6" t="str">
            <v>부장</v>
          </cell>
          <cell r="M6" t="str">
            <v>배명철</v>
          </cell>
          <cell r="N6">
            <v>1785000</v>
          </cell>
          <cell r="O6">
            <v>1518000</v>
          </cell>
        </row>
        <row r="7">
          <cell r="A7">
            <v>6</v>
          </cell>
          <cell r="B7">
            <v>76</v>
          </cell>
          <cell r="C7" t="str">
            <v>이태무</v>
          </cell>
          <cell r="D7">
            <v>28</v>
          </cell>
          <cell r="E7" t="str">
            <v>760929-1057311</v>
          </cell>
          <cell r="F7" t="str">
            <v>2003.11.11</v>
          </cell>
          <cell r="G7" t="str">
            <v>수금원 및 관련근로자(4215)</v>
          </cell>
          <cell r="H7" t="str">
            <v>출판영업부</v>
          </cell>
          <cell r="I7" t="str">
            <v>서울 중구 태평로 1가 61</v>
          </cell>
          <cell r="J7" t="str">
            <v>출판광고부</v>
          </cell>
          <cell r="K7" t="str">
            <v>출판광고부</v>
          </cell>
          <cell r="L7" t="str">
            <v>부장</v>
          </cell>
          <cell r="M7" t="str">
            <v>현병오</v>
          </cell>
          <cell r="N7">
            <v>1789000</v>
          </cell>
          <cell r="O7">
            <v>1512000</v>
          </cell>
        </row>
        <row r="8">
          <cell r="A8">
            <v>7</v>
          </cell>
          <cell r="B8">
            <v>82</v>
          </cell>
          <cell r="C8" t="str">
            <v>정미란</v>
          </cell>
          <cell r="D8">
            <v>22</v>
          </cell>
          <cell r="E8" t="str">
            <v>821003-2455216</v>
          </cell>
          <cell r="F8" t="str">
            <v>2004.02.18</v>
          </cell>
          <cell r="G8" t="str">
            <v>비서,타자사무원(411)</v>
          </cell>
          <cell r="H8" t="str">
            <v>출판영업부</v>
          </cell>
          <cell r="I8" t="str">
            <v>서울 중구 태평로 1가 61</v>
          </cell>
          <cell r="J8" t="str">
            <v>출판영업부</v>
          </cell>
          <cell r="K8" t="str">
            <v>출판영업부</v>
          </cell>
          <cell r="L8" t="str">
            <v>부장</v>
          </cell>
          <cell r="M8" t="str">
            <v>조진석</v>
          </cell>
          <cell r="N8">
            <v>1291000</v>
          </cell>
          <cell r="O8">
            <v>1058000</v>
          </cell>
        </row>
        <row r="9">
          <cell r="A9">
            <v>8</v>
          </cell>
          <cell r="B9">
            <v>82</v>
          </cell>
          <cell r="C9" t="str">
            <v>서민경</v>
          </cell>
          <cell r="D9">
            <v>23</v>
          </cell>
          <cell r="E9" t="str">
            <v>820407-2031811</v>
          </cell>
          <cell r="F9" t="str">
            <v>2004.03.04</v>
          </cell>
          <cell r="G9" t="str">
            <v>비서,타자사무원(411)</v>
          </cell>
          <cell r="H9" t="str">
            <v>독자서비스센터</v>
          </cell>
          <cell r="I9" t="str">
            <v>서울 중구 태평로 1가 61</v>
          </cell>
          <cell r="J9" t="str">
            <v>독자서비스센터</v>
          </cell>
          <cell r="K9" t="str">
            <v>독자서비스센터</v>
          </cell>
          <cell r="L9" t="str">
            <v>센터장</v>
          </cell>
          <cell r="M9" t="str">
            <v>권문한</v>
          </cell>
          <cell r="N9">
            <v>1291000</v>
          </cell>
          <cell r="O9">
            <v>1058000</v>
          </cell>
        </row>
        <row r="10">
          <cell r="A10">
            <v>9</v>
          </cell>
          <cell r="B10">
            <v>82</v>
          </cell>
          <cell r="C10" t="str">
            <v>안월상</v>
          </cell>
          <cell r="D10">
            <v>23</v>
          </cell>
          <cell r="E10" t="str">
            <v>820301-2360614</v>
          </cell>
          <cell r="F10" t="str">
            <v>2004.04.06</v>
          </cell>
          <cell r="G10" t="str">
            <v>컴퓨터보조원(3121)</v>
          </cell>
          <cell r="H10" t="str">
            <v>편집부</v>
          </cell>
          <cell r="I10" t="str">
            <v>서울 중구 태평로 1가 61</v>
          </cell>
          <cell r="J10" t="str">
            <v>편집부</v>
          </cell>
          <cell r="K10" t="str">
            <v>편집부</v>
          </cell>
          <cell r="L10" t="str">
            <v>부장</v>
          </cell>
          <cell r="M10" t="str">
            <v>서만교</v>
          </cell>
          <cell r="N10">
            <v>1865000</v>
          </cell>
          <cell r="O10">
            <v>1631000</v>
          </cell>
        </row>
        <row r="11">
          <cell r="A11">
            <v>10</v>
          </cell>
          <cell r="B11">
            <v>79</v>
          </cell>
          <cell r="C11" t="str">
            <v>이은영</v>
          </cell>
          <cell r="D11">
            <v>26</v>
          </cell>
          <cell r="E11" t="str">
            <v>790710-2051816</v>
          </cell>
          <cell r="F11" t="str">
            <v>2004.04.08</v>
          </cell>
          <cell r="G11" t="str">
            <v>비서,타자사무원(411)</v>
          </cell>
          <cell r="H11" t="str">
            <v>출판팀</v>
          </cell>
          <cell r="I11" t="str">
            <v>서울 중구 태평로 1가 61</v>
          </cell>
          <cell r="J11" t="str">
            <v>출판영업부</v>
          </cell>
          <cell r="K11" t="str">
            <v>출판영업부</v>
          </cell>
          <cell r="L11" t="str">
            <v>부장</v>
          </cell>
          <cell r="M11" t="str">
            <v>조진석</v>
          </cell>
          <cell r="N11">
            <v>2120000</v>
          </cell>
          <cell r="O11">
            <v>1776000</v>
          </cell>
        </row>
        <row r="12">
          <cell r="A12">
            <v>11</v>
          </cell>
          <cell r="B12">
            <v>83</v>
          </cell>
          <cell r="C12" t="str">
            <v>이현진</v>
          </cell>
          <cell r="D12">
            <v>22</v>
          </cell>
          <cell r="E12" t="str">
            <v>830425-2927417</v>
          </cell>
          <cell r="F12" t="str">
            <v>2004.05.07</v>
          </cell>
          <cell r="G12" t="str">
            <v>비서,타자사무원(411)</v>
          </cell>
          <cell r="H12" t="str">
            <v>논설위원실</v>
          </cell>
          <cell r="I12" t="str">
            <v>서울 중구 태평로 1가 61</v>
          </cell>
          <cell r="J12" t="str">
            <v>논설위원실</v>
          </cell>
          <cell r="K12" t="str">
            <v>논설위원실</v>
          </cell>
          <cell r="L12" t="str">
            <v>위원</v>
          </cell>
          <cell r="M12" t="str">
            <v>강천석</v>
          </cell>
          <cell r="N12">
            <v>1428000</v>
          </cell>
          <cell r="O12">
            <v>1194000</v>
          </cell>
        </row>
        <row r="13">
          <cell r="A13">
            <v>12</v>
          </cell>
          <cell r="B13">
            <v>82</v>
          </cell>
          <cell r="C13" t="str">
            <v>최임영</v>
          </cell>
          <cell r="D13">
            <v>23</v>
          </cell>
          <cell r="E13" t="str">
            <v>820518-1121629</v>
          </cell>
          <cell r="F13" t="str">
            <v>2004.09.23</v>
          </cell>
          <cell r="G13" t="str">
            <v>도서,우편 및 관련사무원(414)</v>
          </cell>
          <cell r="H13" t="str">
            <v>윤전부</v>
          </cell>
          <cell r="I13" t="str">
            <v>서울 중구 태평로 1가 61</v>
          </cell>
          <cell r="J13" t="str">
            <v>윤전부</v>
          </cell>
          <cell r="K13" t="str">
            <v>윤전부</v>
          </cell>
          <cell r="L13" t="str">
            <v>부장</v>
          </cell>
          <cell r="M13" t="str">
            <v>장영생</v>
          </cell>
          <cell r="N13">
            <v>1291000</v>
          </cell>
          <cell r="O13">
            <v>1058000</v>
          </cell>
        </row>
        <row r="14">
          <cell r="A14">
            <v>13</v>
          </cell>
          <cell r="B14">
            <v>80</v>
          </cell>
          <cell r="C14" t="str">
            <v>최윤미</v>
          </cell>
          <cell r="D14">
            <v>25</v>
          </cell>
          <cell r="E14" t="str">
            <v>800825-2065814</v>
          </cell>
          <cell r="F14" t="str">
            <v>2004.10.20</v>
          </cell>
          <cell r="G14" t="str">
            <v>비서,타자사무원(411)</v>
          </cell>
          <cell r="H14" t="str">
            <v>출판영업부</v>
          </cell>
          <cell r="I14" t="str">
            <v>서울 중구 태평로 1가 61</v>
          </cell>
          <cell r="J14" t="str">
            <v>출판영업부</v>
          </cell>
          <cell r="K14" t="str">
            <v>출판영업부</v>
          </cell>
          <cell r="L14" t="str">
            <v>부장</v>
          </cell>
          <cell r="M14" t="str">
            <v>조진석</v>
          </cell>
          <cell r="N14">
            <v>1475000</v>
          </cell>
          <cell r="O14">
            <v>1241000</v>
          </cell>
        </row>
        <row r="15">
          <cell r="A15">
            <v>14</v>
          </cell>
          <cell r="B15">
            <v>80</v>
          </cell>
          <cell r="C15" t="str">
            <v>최은이</v>
          </cell>
          <cell r="D15">
            <v>25</v>
          </cell>
          <cell r="E15" t="str">
            <v>800622-2046722</v>
          </cell>
          <cell r="F15" t="str">
            <v>2004.12.14</v>
          </cell>
          <cell r="G15" t="str">
            <v>비서,타자사무원(411)</v>
          </cell>
          <cell r="H15" t="str">
            <v>편집부</v>
          </cell>
          <cell r="I15" t="str">
            <v>서울 중구 태평로 1가 61</v>
          </cell>
          <cell r="J15" t="str">
            <v>편집부</v>
          </cell>
          <cell r="K15" t="str">
            <v>편집부</v>
          </cell>
          <cell r="L15" t="str">
            <v>부장</v>
          </cell>
          <cell r="M15" t="str">
            <v>서만교</v>
          </cell>
          <cell r="N15">
            <v>1335000</v>
          </cell>
          <cell r="O15">
            <v>1194000</v>
          </cell>
        </row>
        <row r="16">
          <cell r="A16">
            <v>15</v>
          </cell>
          <cell r="B16">
            <v>82</v>
          </cell>
          <cell r="C16" t="str">
            <v>안성아</v>
          </cell>
          <cell r="D16">
            <v>23</v>
          </cell>
          <cell r="E16" t="str">
            <v>820605-2067717</v>
          </cell>
          <cell r="F16" t="str">
            <v>2004.12.20</v>
          </cell>
          <cell r="G16" t="str">
            <v>비서,타자사무원(411)</v>
          </cell>
          <cell r="H16" t="str">
            <v>지판2부</v>
          </cell>
          <cell r="I16" t="str">
            <v>서울 중구 태평로 1가 61</v>
          </cell>
          <cell r="J16" t="str">
            <v>지판2부</v>
          </cell>
          <cell r="K16" t="str">
            <v>지판2부</v>
          </cell>
          <cell r="L16" t="str">
            <v>부장</v>
          </cell>
          <cell r="M16" t="str">
            <v>최두희</v>
          </cell>
          <cell r="N16">
            <v>1291000</v>
          </cell>
          <cell r="O16">
            <v>1058000</v>
          </cell>
        </row>
        <row r="17">
          <cell r="A17">
            <v>16</v>
          </cell>
          <cell r="B17">
            <v>86</v>
          </cell>
          <cell r="C17" t="str">
            <v>임창희</v>
          </cell>
          <cell r="D17">
            <v>19</v>
          </cell>
          <cell r="E17" t="str">
            <v>860114-1451018</v>
          </cell>
          <cell r="F17" t="str">
            <v>2004.12.23</v>
          </cell>
          <cell r="G17" t="str">
            <v>도서,우편 및 관련사무원(414)</v>
          </cell>
          <cell r="H17" t="str">
            <v>편집국</v>
          </cell>
          <cell r="I17" t="str">
            <v>서울 중구 태평로 1가 61</v>
          </cell>
          <cell r="J17" t="str">
            <v>편집국</v>
          </cell>
          <cell r="K17" t="str">
            <v>기획행정팀</v>
          </cell>
          <cell r="L17" t="str">
            <v>과장</v>
          </cell>
          <cell r="M17" t="str">
            <v>박재석</v>
          </cell>
          <cell r="N17">
            <v>1291000</v>
          </cell>
          <cell r="O17">
            <v>1058000</v>
          </cell>
        </row>
        <row r="18">
          <cell r="A18">
            <v>17</v>
          </cell>
          <cell r="B18">
            <v>83</v>
          </cell>
          <cell r="C18" t="str">
            <v>강은정</v>
          </cell>
          <cell r="D18">
            <v>23</v>
          </cell>
          <cell r="E18" t="str">
            <v>830206-2057419</v>
          </cell>
          <cell r="F18" t="str">
            <v>2005.01.07</v>
          </cell>
          <cell r="G18" t="str">
            <v>비서,타자사무원(411)</v>
          </cell>
          <cell r="H18" t="str">
            <v>총무부</v>
          </cell>
          <cell r="I18" t="str">
            <v>서울 중구 태평로 1가 61</v>
          </cell>
          <cell r="J18" t="str">
            <v>총무부</v>
          </cell>
          <cell r="K18" t="str">
            <v>총무부</v>
          </cell>
          <cell r="L18" t="str">
            <v>부장</v>
          </cell>
          <cell r="M18" t="str">
            <v>유광선</v>
          </cell>
          <cell r="N18">
            <v>1291000</v>
          </cell>
          <cell r="O18">
            <v>1058000</v>
          </cell>
        </row>
        <row r="19">
          <cell r="A19">
            <v>18</v>
          </cell>
          <cell r="B19">
            <v>82</v>
          </cell>
          <cell r="C19" t="str">
            <v>장수정</v>
          </cell>
          <cell r="D19">
            <v>24</v>
          </cell>
          <cell r="E19" t="str">
            <v>820122-2224119</v>
          </cell>
          <cell r="F19" t="str">
            <v>2005.02.15</v>
          </cell>
          <cell r="G19" t="str">
            <v>비서,타자사무원(411)</v>
          </cell>
          <cell r="H19" t="str">
            <v>수판2부</v>
          </cell>
          <cell r="I19" t="str">
            <v>서울 중구 태평로 1가 61</v>
          </cell>
          <cell r="J19" t="str">
            <v>수판2부</v>
          </cell>
          <cell r="K19" t="str">
            <v>수판2부</v>
          </cell>
          <cell r="L19" t="str">
            <v>부장</v>
          </cell>
          <cell r="M19" t="str">
            <v>김영식</v>
          </cell>
          <cell r="N19">
            <v>1291000</v>
          </cell>
          <cell r="O19">
            <v>1058000</v>
          </cell>
        </row>
        <row r="20">
          <cell r="A20">
            <v>19</v>
          </cell>
          <cell r="B20">
            <v>83</v>
          </cell>
          <cell r="C20" t="str">
            <v>정문호</v>
          </cell>
          <cell r="D20">
            <v>23</v>
          </cell>
          <cell r="E20" t="str">
            <v>831124-1188038</v>
          </cell>
          <cell r="F20" t="str">
            <v>2005.03.07</v>
          </cell>
          <cell r="G20" t="str">
            <v>도서,우편 및 관련사무원(414)</v>
          </cell>
          <cell r="H20" t="str">
            <v>편집국</v>
          </cell>
          <cell r="I20" t="str">
            <v>서울 중구 태평로 1가 61</v>
          </cell>
          <cell r="J20" t="str">
            <v>편집국</v>
          </cell>
          <cell r="K20" t="str">
            <v>기획행정팀</v>
          </cell>
          <cell r="L20" t="str">
            <v>과장</v>
          </cell>
          <cell r="M20" t="str">
            <v>박재석</v>
          </cell>
          <cell r="N20">
            <v>1291000</v>
          </cell>
          <cell r="O20">
            <v>1058000</v>
          </cell>
        </row>
        <row r="21">
          <cell r="A21">
            <v>20</v>
          </cell>
          <cell r="B21">
            <v>82</v>
          </cell>
          <cell r="C21" t="str">
            <v>김나영</v>
          </cell>
          <cell r="D21">
            <v>24</v>
          </cell>
          <cell r="E21" t="str">
            <v>821013-2063313</v>
          </cell>
          <cell r="F21" t="str">
            <v>2005.03.21</v>
          </cell>
          <cell r="G21" t="str">
            <v>비서,타자사무원(411)</v>
          </cell>
          <cell r="H21" t="str">
            <v>소년편집실</v>
          </cell>
          <cell r="I21" t="str">
            <v>서울 중구 태평로 1가 61</v>
          </cell>
          <cell r="J21" t="str">
            <v>소년편집실</v>
          </cell>
          <cell r="K21" t="str">
            <v>소년편집실</v>
          </cell>
          <cell r="L21" t="str">
            <v>실장</v>
          </cell>
          <cell r="M21" t="str">
            <v>이중식</v>
          </cell>
          <cell r="N21">
            <v>1335000</v>
          </cell>
          <cell r="O21">
            <v>1101000</v>
          </cell>
        </row>
        <row r="22">
          <cell r="A22">
            <v>21</v>
          </cell>
          <cell r="B22">
            <v>82</v>
          </cell>
          <cell r="C22" t="str">
            <v>방보람</v>
          </cell>
          <cell r="D22">
            <v>24</v>
          </cell>
          <cell r="E22" t="str">
            <v>820226-2065318</v>
          </cell>
          <cell r="F22" t="str">
            <v>2005.03.21</v>
          </cell>
          <cell r="G22" t="str">
            <v>비서,타자사무원(411)</v>
          </cell>
          <cell r="H22" t="str">
            <v>출판국</v>
          </cell>
          <cell r="I22" t="str">
            <v>서울 중구 태평로 1가 61</v>
          </cell>
          <cell r="J22" t="str">
            <v>출판국</v>
          </cell>
          <cell r="K22" t="str">
            <v>출판국</v>
          </cell>
          <cell r="L22" t="str">
            <v>부장</v>
          </cell>
          <cell r="M22" t="str">
            <v>조진석</v>
          </cell>
          <cell r="N22">
            <v>1619000</v>
          </cell>
          <cell r="O22">
            <v>1924000</v>
          </cell>
        </row>
        <row r="23">
          <cell r="A23">
            <v>22</v>
          </cell>
          <cell r="B23">
            <v>84</v>
          </cell>
          <cell r="C23" t="str">
            <v>김정화</v>
          </cell>
          <cell r="D23">
            <v>22</v>
          </cell>
          <cell r="E23" t="str">
            <v>841124-2151812</v>
          </cell>
          <cell r="F23" t="str">
            <v>2005.04.01</v>
          </cell>
          <cell r="G23" t="str">
            <v>비서,타자사무원(411)</v>
          </cell>
          <cell r="H23" t="str">
            <v>비상계획부</v>
          </cell>
          <cell r="I23" t="str">
            <v>서울 중구 태평로 1가 61</v>
          </cell>
          <cell r="J23" t="str">
            <v>비상계획부</v>
          </cell>
          <cell r="K23" t="str">
            <v>비상계획부</v>
          </cell>
          <cell r="L23" t="str">
            <v>부장</v>
          </cell>
          <cell r="M23" t="str">
            <v>김기열</v>
          </cell>
          <cell r="N23">
            <v>1291000</v>
          </cell>
          <cell r="O23">
            <v>1058000</v>
          </cell>
        </row>
        <row r="24">
          <cell r="A24">
            <v>23</v>
          </cell>
          <cell r="B24">
            <v>84</v>
          </cell>
          <cell r="C24" t="str">
            <v>김명직</v>
          </cell>
          <cell r="D24">
            <v>22</v>
          </cell>
          <cell r="E24" t="str">
            <v>840212-1458012</v>
          </cell>
          <cell r="F24" t="str">
            <v>2005.04.01</v>
          </cell>
          <cell r="G24" t="str">
            <v>도서,우편 및 관련사무원(414)</v>
          </cell>
          <cell r="H24" t="str">
            <v>판매국</v>
          </cell>
          <cell r="I24" t="str">
            <v>서울 중구 태평로 1가 61</v>
          </cell>
          <cell r="J24" t="str">
            <v>판매국</v>
          </cell>
          <cell r="K24" t="str">
            <v>판매국</v>
          </cell>
          <cell r="L24" t="str">
            <v>부장</v>
          </cell>
          <cell r="M24" t="str">
            <v>권태영</v>
          </cell>
          <cell r="N24">
            <v>1291000</v>
          </cell>
          <cell r="O24">
            <v>1058000</v>
          </cell>
        </row>
        <row r="25">
          <cell r="A25">
            <v>24</v>
          </cell>
          <cell r="B25">
            <v>72</v>
          </cell>
          <cell r="C25" t="str">
            <v>맹승영</v>
          </cell>
          <cell r="D25">
            <v>34</v>
          </cell>
          <cell r="E25" t="str">
            <v>720614-1402724</v>
          </cell>
          <cell r="F25" t="str">
            <v>2005.04.01</v>
          </cell>
          <cell r="G25" t="str">
            <v>컴퓨터전문가(213)</v>
          </cell>
          <cell r="H25" t="str">
            <v>사무전산부</v>
          </cell>
          <cell r="I25" t="str">
            <v>서울 중구 태평로 1가 61</v>
          </cell>
          <cell r="J25" t="str">
            <v>사무전산부</v>
          </cell>
          <cell r="K25" t="str">
            <v>사무전산부</v>
          </cell>
          <cell r="L25" t="str">
            <v>부장</v>
          </cell>
          <cell r="M25" t="str">
            <v>전형우</v>
          </cell>
          <cell r="N25">
            <v>3109000</v>
          </cell>
        </row>
        <row r="26">
          <cell r="A26">
            <v>25</v>
          </cell>
          <cell r="B26">
            <v>78</v>
          </cell>
          <cell r="C26" t="str">
            <v>박주영</v>
          </cell>
          <cell r="D26">
            <v>28</v>
          </cell>
          <cell r="E26" t="str">
            <v>780424-2030823</v>
          </cell>
          <cell r="F26" t="str">
            <v>2005.04.19</v>
          </cell>
          <cell r="G26" t="str">
            <v>비서,타자사무원(411)</v>
          </cell>
          <cell r="H26" t="str">
            <v>기자역량개발팀</v>
          </cell>
          <cell r="I26" t="str">
            <v>서울 중구 태평로 1가 61</v>
          </cell>
          <cell r="J26" t="str">
            <v>기자역량개발팀</v>
          </cell>
          <cell r="K26" t="str">
            <v>기자역량개발팀</v>
          </cell>
          <cell r="L26" t="str">
            <v>과장</v>
          </cell>
          <cell r="M26" t="str">
            <v>박재석</v>
          </cell>
          <cell r="N26">
            <v>1428000</v>
          </cell>
          <cell r="O26">
            <v>1194000</v>
          </cell>
        </row>
        <row r="27">
          <cell r="A27">
            <v>26</v>
          </cell>
          <cell r="B27">
            <v>82</v>
          </cell>
          <cell r="C27" t="str">
            <v>박지연</v>
          </cell>
          <cell r="D27">
            <v>24</v>
          </cell>
          <cell r="E27" t="str">
            <v>821001-2024017</v>
          </cell>
          <cell r="F27" t="str">
            <v>2005.05.18</v>
          </cell>
          <cell r="G27" t="str">
            <v>비서,타자사무원(411)</v>
          </cell>
          <cell r="H27" t="str">
            <v>수판2국</v>
          </cell>
          <cell r="I27" t="str">
            <v>서울 중구 태평로 1가 61</v>
          </cell>
          <cell r="J27" t="str">
            <v>수판2국</v>
          </cell>
          <cell r="K27" t="str">
            <v>수판2국</v>
          </cell>
          <cell r="L27" t="str">
            <v>부장</v>
          </cell>
          <cell r="M27" t="str">
            <v>김영식</v>
          </cell>
          <cell r="N27">
            <v>1291000</v>
          </cell>
          <cell r="O27">
            <v>1058000</v>
          </cell>
        </row>
        <row r="28">
          <cell r="A28">
            <v>27</v>
          </cell>
          <cell r="B28">
            <v>83</v>
          </cell>
          <cell r="C28" t="str">
            <v>이지현</v>
          </cell>
          <cell r="D28">
            <v>23</v>
          </cell>
          <cell r="E28" t="str">
            <v>830726-2144011</v>
          </cell>
          <cell r="F28" t="str">
            <v>2005.05.23</v>
          </cell>
          <cell r="G28" t="str">
            <v>비서,타자사무원(411)</v>
          </cell>
          <cell r="H28" t="str">
            <v>공정관리실</v>
          </cell>
          <cell r="I28" t="str">
            <v>서울 중구 태평로 1가 61</v>
          </cell>
          <cell r="J28" t="str">
            <v>공정관리실</v>
          </cell>
          <cell r="K28" t="str">
            <v>공정관리실</v>
          </cell>
          <cell r="L28" t="str">
            <v>과장</v>
          </cell>
          <cell r="M28" t="str">
            <v>백용국</v>
          </cell>
          <cell r="N28">
            <v>1291000</v>
          </cell>
          <cell r="O28">
            <v>1058000</v>
          </cell>
        </row>
        <row r="29">
          <cell r="A29">
            <v>28</v>
          </cell>
          <cell r="B29">
            <v>83</v>
          </cell>
          <cell r="C29" t="str">
            <v>유성희</v>
          </cell>
          <cell r="D29">
            <v>23</v>
          </cell>
          <cell r="E29" t="str">
            <v>830418-2182620</v>
          </cell>
          <cell r="F29" t="str">
            <v>2005.06.11</v>
          </cell>
          <cell r="G29" t="str">
            <v>비서,타자사무원(411)</v>
          </cell>
          <cell r="H29" t="str">
            <v>판매지원부</v>
          </cell>
          <cell r="I29" t="str">
            <v>서울 중구 태평로 1가 61</v>
          </cell>
          <cell r="J29" t="str">
            <v>판매지원부</v>
          </cell>
          <cell r="K29" t="str">
            <v>판매지원부</v>
          </cell>
          <cell r="L29" t="str">
            <v>과장</v>
          </cell>
          <cell r="M29" t="str">
            <v>이규천</v>
          </cell>
          <cell r="N29">
            <v>1291000</v>
          </cell>
          <cell r="O29">
            <v>1058000</v>
          </cell>
        </row>
        <row r="30">
          <cell r="A30">
            <v>29</v>
          </cell>
          <cell r="B30">
            <v>84</v>
          </cell>
          <cell r="C30" t="str">
            <v>오정은</v>
          </cell>
          <cell r="D30">
            <v>22</v>
          </cell>
          <cell r="E30" t="str">
            <v>8405053-2025615</v>
          </cell>
          <cell r="F30" t="str">
            <v>2005.06.27</v>
          </cell>
          <cell r="G30" t="str">
            <v>비서,타자사무원(411)</v>
          </cell>
          <cell r="H30" t="str">
            <v>정보사업팀</v>
          </cell>
          <cell r="I30" t="str">
            <v>서울 중구 태평로 1가 61</v>
          </cell>
          <cell r="J30" t="str">
            <v>인사부</v>
          </cell>
          <cell r="K30" t="str">
            <v>인사부</v>
          </cell>
          <cell r="L30" t="str">
            <v>과장</v>
          </cell>
          <cell r="M30" t="str">
            <v>이석기</v>
          </cell>
          <cell r="N30">
            <v>1291000</v>
          </cell>
          <cell r="O30">
            <v>1058000</v>
          </cell>
        </row>
        <row r="31">
          <cell r="A31">
            <v>30</v>
          </cell>
          <cell r="B31">
            <v>73</v>
          </cell>
          <cell r="C31" t="str">
            <v>이수진</v>
          </cell>
          <cell r="D31">
            <v>33</v>
          </cell>
          <cell r="E31">
            <v>7304292010119</v>
          </cell>
          <cell r="F31" t="str">
            <v>2002.01.02</v>
          </cell>
          <cell r="G31" t="str">
            <v>비서,타자사무원(411)</v>
          </cell>
          <cell r="H31" t="str">
            <v>정보사업팀</v>
          </cell>
          <cell r="I31" t="str">
            <v>서울 중구 태평로 1가 61</v>
          </cell>
          <cell r="J31" t="str">
            <v>정보사업팀</v>
          </cell>
          <cell r="K31" t="str">
            <v>정보사업팀</v>
          </cell>
          <cell r="L31" t="str">
            <v>단장</v>
          </cell>
          <cell r="M31" t="str">
            <v>길대식</v>
          </cell>
          <cell r="N31">
            <v>880035</v>
          </cell>
        </row>
        <row r="32">
          <cell r="A32">
            <v>32</v>
          </cell>
          <cell r="B32">
            <v>78</v>
          </cell>
          <cell r="C32" t="str">
            <v>정혜영</v>
          </cell>
          <cell r="D32">
            <v>28</v>
          </cell>
          <cell r="E32">
            <v>7804032079423</v>
          </cell>
          <cell r="F32" t="str">
            <v>2002.01.02</v>
          </cell>
          <cell r="G32" t="str">
            <v>비서,타자사무원(411)</v>
          </cell>
          <cell r="H32" t="str">
            <v>정보사업팀</v>
          </cell>
          <cell r="I32" t="str">
            <v>서울 중구 태평로 1가 61</v>
          </cell>
          <cell r="J32" t="str">
            <v>정보사업팀</v>
          </cell>
          <cell r="K32" t="str">
            <v>정보사업팀</v>
          </cell>
          <cell r="L32" t="str">
            <v>단장</v>
          </cell>
          <cell r="M32" t="str">
            <v>길대식</v>
          </cell>
          <cell r="N32">
            <v>880035</v>
          </cell>
        </row>
        <row r="33">
          <cell r="A33">
            <v>33</v>
          </cell>
          <cell r="B33">
            <v>74</v>
          </cell>
          <cell r="C33" t="str">
            <v>지수진</v>
          </cell>
          <cell r="D33">
            <v>32</v>
          </cell>
          <cell r="E33">
            <v>7402132069414</v>
          </cell>
          <cell r="F33" t="str">
            <v>2002.01.02</v>
          </cell>
          <cell r="G33" t="str">
            <v>비서,타자사무원(411)</v>
          </cell>
          <cell r="H33" t="str">
            <v>정보사업팀</v>
          </cell>
          <cell r="I33" t="str">
            <v>서울 중구 태평로 1가 61</v>
          </cell>
          <cell r="J33" t="str">
            <v>정보사업팀</v>
          </cell>
          <cell r="K33" t="str">
            <v>정보사업팀</v>
          </cell>
          <cell r="L33" t="str">
            <v>단장</v>
          </cell>
          <cell r="M33" t="str">
            <v>길대식</v>
          </cell>
          <cell r="N33">
            <v>880035</v>
          </cell>
        </row>
        <row r="34">
          <cell r="A34">
            <v>34</v>
          </cell>
          <cell r="B34">
            <v>78</v>
          </cell>
          <cell r="C34" t="str">
            <v>이하영</v>
          </cell>
          <cell r="D34">
            <v>26</v>
          </cell>
          <cell r="E34">
            <v>7809042019927</v>
          </cell>
          <cell r="F34" t="str">
            <v>2002.01.02</v>
          </cell>
          <cell r="G34" t="str">
            <v>비서,타자사무원(411)</v>
          </cell>
          <cell r="H34" t="str">
            <v>정보사업팀</v>
          </cell>
          <cell r="I34" t="str">
            <v>서울 중구 태평로 1가 61</v>
          </cell>
          <cell r="J34" t="str">
            <v>정보사업팀</v>
          </cell>
          <cell r="K34" t="str">
            <v>정보사업팀</v>
          </cell>
          <cell r="L34" t="str">
            <v>단장</v>
          </cell>
          <cell r="M34" t="str">
            <v>길대식</v>
          </cell>
          <cell r="N34">
            <v>942835</v>
          </cell>
        </row>
        <row r="35">
          <cell r="A35">
            <v>35</v>
          </cell>
          <cell r="B35">
            <v>77</v>
          </cell>
          <cell r="C35" t="str">
            <v>이윤희</v>
          </cell>
          <cell r="D35">
            <v>27</v>
          </cell>
          <cell r="E35">
            <v>7702182357311</v>
          </cell>
          <cell r="F35" t="str">
            <v>2002.01.02</v>
          </cell>
          <cell r="G35" t="str">
            <v>비서,타자사무원(411)</v>
          </cell>
          <cell r="H35" t="str">
            <v>정보사업팀</v>
          </cell>
          <cell r="I35" t="str">
            <v>서울 중구 태평로 1가 61</v>
          </cell>
          <cell r="J35" t="str">
            <v>정보사업팀</v>
          </cell>
          <cell r="K35" t="str">
            <v>정보사업팀</v>
          </cell>
          <cell r="L35" t="str">
            <v>단장</v>
          </cell>
          <cell r="M35" t="str">
            <v>길대식</v>
          </cell>
          <cell r="N35">
            <v>880035</v>
          </cell>
        </row>
        <row r="36">
          <cell r="A36">
            <v>36</v>
          </cell>
          <cell r="B36">
            <v>77</v>
          </cell>
          <cell r="C36" t="str">
            <v>이영경</v>
          </cell>
          <cell r="D36">
            <v>27</v>
          </cell>
          <cell r="E36">
            <v>7712092162710</v>
          </cell>
          <cell r="F36" t="str">
            <v>2002.01.14</v>
          </cell>
          <cell r="G36" t="str">
            <v>비서,타자사무원(411)</v>
          </cell>
          <cell r="H36" t="str">
            <v>정보사업팀</v>
          </cell>
          <cell r="I36" t="str">
            <v>서울 중구 태평로 1가 61</v>
          </cell>
          <cell r="J36" t="str">
            <v>정보사업팀</v>
          </cell>
          <cell r="K36" t="str">
            <v>정보사업팀</v>
          </cell>
          <cell r="L36" t="str">
            <v>단장</v>
          </cell>
          <cell r="M36" t="str">
            <v>길대식</v>
          </cell>
          <cell r="N36">
            <v>880035</v>
          </cell>
        </row>
        <row r="37">
          <cell r="A37">
            <v>37</v>
          </cell>
          <cell r="B37">
            <v>73</v>
          </cell>
          <cell r="C37" t="str">
            <v>한미나</v>
          </cell>
          <cell r="D37">
            <v>31</v>
          </cell>
          <cell r="E37">
            <v>7301192011136</v>
          </cell>
          <cell r="F37" t="str">
            <v>2002.01.02</v>
          </cell>
          <cell r="G37" t="str">
            <v>비서,타자사무원(411)</v>
          </cell>
          <cell r="H37" t="str">
            <v>정보사업팀</v>
          </cell>
          <cell r="I37" t="str">
            <v>서울 중구 태평로 1가 61</v>
          </cell>
          <cell r="J37" t="str">
            <v>정보사업팀</v>
          </cell>
          <cell r="K37" t="str">
            <v>정보사업팀</v>
          </cell>
          <cell r="L37" t="str">
            <v>단장</v>
          </cell>
          <cell r="M37" t="str">
            <v>길대식</v>
          </cell>
          <cell r="N37">
            <v>942835</v>
          </cell>
        </row>
        <row r="38">
          <cell r="A38">
            <v>38</v>
          </cell>
          <cell r="B38">
            <v>77</v>
          </cell>
          <cell r="C38" t="str">
            <v>황은주</v>
          </cell>
          <cell r="D38">
            <v>27</v>
          </cell>
          <cell r="E38">
            <v>7706012221110</v>
          </cell>
          <cell r="F38" t="str">
            <v>2002.01.02</v>
          </cell>
          <cell r="G38" t="str">
            <v>비서,타자사무원(411)</v>
          </cell>
          <cell r="H38" t="str">
            <v>정보사업팀</v>
          </cell>
          <cell r="I38" t="str">
            <v>서울 중구 태평로 1가 61</v>
          </cell>
          <cell r="J38" t="str">
            <v>정보사업팀</v>
          </cell>
          <cell r="K38" t="str">
            <v>정보사업팀</v>
          </cell>
          <cell r="L38" t="str">
            <v>단장</v>
          </cell>
          <cell r="M38" t="str">
            <v>길대식</v>
          </cell>
          <cell r="N38">
            <v>883755</v>
          </cell>
        </row>
        <row r="39">
          <cell r="A39">
            <v>39</v>
          </cell>
          <cell r="B39">
            <v>78</v>
          </cell>
          <cell r="C39" t="str">
            <v>정우식</v>
          </cell>
          <cell r="D39">
            <v>26</v>
          </cell>
          <cell r="E39">
            <v>7812051056313</v>
          </cell>
          <cell r="F39" t="str">
            <v>2002.01.02</v>
          </cell>
          <cell r="G39" t="str">
            <v>비서,타자사무원(411)</v>
          </cell>
          <cell r="H39" t="str">
            <v>정보사업팀</v>
          </cell>
          <cell r="I39" t="str">
            <v>서울 중구 태평로 1가 61</v>
          </cell>
          <cell r="J39" t="str">
            <v>정보사업팀</v>
          </cell>
          <cell r="K39" t="str">
            <v>정보사업팀</v>
          </cell>
          <cell r="L39" t="str">
            <v>단장</v>
          </cell>
          <cell r="M39" t="str">
            <v>길대식</v>
          </cell>
          <cell r="N39">
            <v>942835</v>
          </cell>
        </row>
        <row r="40">
          <cell r="A40">
            <v>40</v>
          </cell>
          <cell r="B40">
            <v>76</v>
          </cell>
          <cell r="C40" t="str">
            <v>전은진</v>
          </cell>
          <cell r="D40">
            <v>28</v>
          </cell>
          <cell r="E40">
            <v>7612282080515</v>
          </cell>
          <cell r="F40" t="str">
            <v>2002.01.02</v>
          </cell>
          <cell r="G40" t="str">
            <v>비서,타자사무원(411)</v>
          </cell>
          <cell r="H40" t="str">
            <v>정보사업팀</v>
          </cell>
          <cell r="I40" t="str">
            <v>서울 중구 태평로 1가 61</v>
          </cell>
          <cell r="J40" t="str">
            <v>정보사업팀</v>
          </cell>
          <cell r="K40" t="str">
            <v>정보사업팀</v>
          </cell>
          <cell r="L40" t="str">
            <v>단장</v>
          </cell>
          <cell r="M40" t="str">
            <v>길대식</v>
          </cell>
          <cell r="N40">
            <v>942835</v>
          </cell>
        </row>
        <row r="41">
          <cell r="A41">
            <v>41</v>
          </cell>
          <cell r="B41">
            <v>75</v>
          </cell>
          <cell r="C41" t="str">
            <v>정은아</v>
          </cell>
          <cell r="D41">
            <v>29</v>
          </cell>
          <cell r="E41">
            <v>757282654311</v>
          </cell>
          <cell r="F41" t="str">
            <v>2002.01.02</v>
          </cell>
          <cell r="G41" t="str">
            <v>비서,타자사무원(411)</v>
          </cell>
          <cell r="H41" t="str">
            <v>정보사업팀</v>
          </cell>
          <cell r="I41" t="str">
            <v>서울 중구 태평로 1가 61</v>
          </cell>
          <cell r="J41" t="str">
            <v>정보사업팀</v>
          </cell>
          <cell r="K41" t="str">
            <v>정보사업팀</v>
          </cell>
          <cell r="L41" t="str">
            <v>단장</v>
          </cell>
          <cell r="M41" t="str">
            <v>길대식</v>
          </cell>
          <cell r="N41">
            <v>1005634</v>
          </cell>
        </row>
        <row r="42">
          <cell r="A42">
            <v>42</v>
          </cell>
          <cell r="B42">
            <v>78</v>
          </cell>
          <cell r="C42" t="str">
            <v>김태정</v>
          </cell>
          <cell r="D42">
            <v>26</v>
          </cell>
          <cell r="E42">
            <v>7808022064817</v>
          </cell>
          <cell r="F42" t="str">
            <v>2002.01.02</v>
          </cell>
          <cell r="G42" t="str">
            <v>비서,타자사무원(411)</v>
          </cell>
          <cell r="H42" t="str">
            <v>정보사업팀</v>
          </cell>
          <cell r="I42" t="str">
            <v>서울 중구 태평로 1가 61</v>
          </cell>
          <cell r="J42" t="str">
            <v>정보사업팀</v>
          </cell>
          <cell r="K42" t="str">
            <v>정보사업팀</v>
          </cell>
          <cell r="L42" t="str">
            <v>단장</v>
          </cell>
          <cell r="M42" t="str">
            <v>길대식</v>
          </cell>
          <cell r="N42">
            <v>942835</v>
          </cell>
        </row>
        <row r="43">
          <cell r="A43">
            <v>43</v>
          </cell>
          <cell r="B43">
            <v>51</v>
          </cell>
          <cell r="C43" t="str">
            <v>한수봉</v>
          </cell>
          <cell r="D43">
            <v>53</v>
          </cell>
          <cell r="E43">
            <v>5107241644311</v>
          </cell>
          <cell r="F43" t="str">
            <v>2002.01.02</v>
          </cell>
          <cell r="G43" t="str">
            <v>도서,우편 및 관련사무원(414)</v>
          </cell>
          <cell r="H43" t="str">
            <v>정보사업팀</v>
          </cell>
          <cell r="I43" t="str">
            <v>서울 중구 태평로 1가 61</v>
          </cell>
          <cell r="J43" t="str">
            <v>정보사업팀</v>
          </cell>
          <cell r="K43" t="str">
            <v>정보사업팀</v>
          </cell>
          <cell r="L43" t="str">
            <v>단장</v>
          </cell>
          <cell r="M43" t="str">
            <v>길대식</v>
          </cell>
          <cell r="N43">
            <v>1523564</v>
          </cell>
        </row>
        <row r="44">
          <cell r="A44">
            <v>44</v>
          </cell>
          <cell r="B44">
            <v>74</v>
          </cell>
          <cell r="C44" t="str">
            <v>구선영</v>
          </cell>
          <cell r="D44">
            <v>30</v>
          </cell>
          <cell r="E44">
            <v>7401232460511</v>
          </cell>
          <cell r="F44" t="str">
            <v>2002.01.02</v>
          </cell>
          <cell r="G44" t="str">
            <v>비서,타자사무원(411)</v>
          </cell>
          <cell r="H44" t="str">
            <v>정보사업팀</v>
          </cell>
          <cell r="I44" t="str">
            <v>서울 중구 태평로 1가 61</v>
          </cell>
          <cell r="J44" t="str">
            <v>정보사업팀</v>
          </cell>
          <cell r="K44" t="str">
            <v>정보사업팀</v>
          </cell>
          <cell r="L44" t="str">
            <v>단장</v>
          </cell>
          <cell r="M44" t="str">
            <v>길대식</v>
          </cell>
          <cell r="N44">
            <v>880035</v>
          </cell>
        </row>
        <row r="45">
          <cell r="A45">
            <v>45</v>
          </cell>
          <cell r="B45">
            <v>66</v>
          </cell>
          <cell r="C45" t="str">
            <v>이민희</v>
          </cell>
          <cell r="D45">
            <v>38</v>
          </cell>
          <cell r="E45">
            <v>6612231042518</v>
          </cell>
          <cell r="F45" t="str">
            <v>2002.01.02</v>
          </cell>
          <cell r="G45" t="str">
            <v>비서,타자사무원(411)</v>
          </cell>
          <cell r="H45" t="str">
            <v>경영지원부</v>
          </cell>
          <cell r="I45" t="str">
            <v>서울 중구 태평로 1가 61</v>
          </cell>
          <cell r="J45" t="str">
            <v>경영지원부</v>
          </cell>
          <cell r="K45" t="str">
            <v>경영지원부</v>
          </cell>
          <cell r="L45" t="str">
            <v>부점장</v>
          </cell>
          <cell r="M45" t="str">
            <v>김범두</v>
          </cell>
          <cell r="N45">
            <v>1523564</v>
          </cell>
        </row>
        <row r="46">
          <cell r="A46">
            <v>46</v>
          </cell>
          <cell r="B46">
            <v>77</v>
          </cell>
          <cell r="C46" t="str">
            <v>박은경</v>
          </cell>
          <cell r="D46">
            <v>27</v>
          </cell>
          <cell r="E46">
            <v>7710272650925</v>
          </cell>
          <cell r="F46" t="str">
            <v>2002.01.02</v>
          </cell>
          <cell r="G46" t="str">
            <v>비서,타자사무원(411)</v>
          </cell>
          <cell r="H46" t="str">
            <v>정보사업팀</v>
          </cell>
          <cell r="I46" t="str">
            <v>서울 중구 태평로 1가 61</v>
          </cell>
          <cell r="J46" t="str">
            <v>정보사업팀</v>
          </cell>
          <cell r="K46" t="str">
            <v>정보사업팀</v>
          </cell>
          <cell r="L46" t="str">
            <v>단장</v>
          </cell>
          <cell r="M46" t="str">
            <v>길대식</v>
          </cell>
          <cell r="N46">
            <v>880035</v>
          </cell>
        </row>
        <row r="47">
          <cell r="A47">
            <v>47</v>
          </cell>
          <cell r="B47">
            <v>84</v>
          </cell>
          <cell r="C47" t="str">
            <v>이소영</v>
          </cell>
          <cell r="D47">
            <v>20</v>
          </cell>
          <cell r="E47">
            <v>8401172041812</v>
          </cell>
          <cell r="F47" t="str">
            <v>2002.01.02</v>
          </cell>
          <cell r="G47" t="str">
            <v>비서,타자사무원(411)</v>
          </cell>
          <cell r="H47" t="str">
            <v>부동산평가부</v>
          </cell>
          <cell r="I47" t="str">
            <v>서울 중구 태평로 1가 61</v>
          </cell>
          <cell r="J47" t="str">
            <v>부동산평가부</v>
          </cell>
          <cell r="K47" t="str">
            <v>부동산평가부</v>
          </cell>
          <cell r="L47" t="str">
            <v>부점장</v>
          </cell>
          <cell r="M47" t="str">
            <v>황선구</v>
          </cell>
          <cell r="N47">
            <v>880035</v>
          </cell>
        </row>
        <row r="48">
          <cell r="A48">
            <v>48</v>
          </cell>
          <cell r="B48">
            <v>77</v>
          </cell>
          <cell r="C48" t="str">
            <v>정영선</v>
          </cell>
          <cell r="D48">
            <v>27</v>
          </cell>
          <cell r="E48">
            <v>7703142011736</v>
          </cell>
          <cell r="F48" t="str">
            <v>2002.01.02</v>
          </cell>
          <cell r="G48" t="str">
            <v>비서,타자사무원(411)</v>
          </cell>
          <cell r="H48" t="str">
            <v>중부지점</v>
          </cell>
          <cell r="I48" t="str">
            <v>서울 중구 태평로 1가 61</v>
          </cell>
          <cell r="J48" t="str">
            <v>중부지점</v>
          </cell>
          <cell r="K48" t="str">
            <v>중부지점</v>
          </cell>
          <cell r="L48" t="str">
            <v>지점장</v>
          </cell>
          <cell r="M48" t="str">
            <v xml:space="preserve"> 김태수</v>
          </cell>
          <cell r="N48">
            <v>942835</v>
          </cell>
        </row>
        <row r="49">
          <cell r="A49">
            <v>49</v>
          </cell>
          <cell r="B49">
            <v>42</v>
          </cell>
          <cell r="C49" t="str">
            <v>오선구</v>
          </cell>
          <cell r="D49">
            <v>62</v>
          </cell>
          <cell r="E49">
            <v>4208101058312</v>
          </cell>
          <cell r="F49" t="str">
            <v>2002.01.02</v>
          </cell>
          <cell r="G49" t="str">
            <v>도서,우편 및 관련사무원(414)</v>
          </cell>
          <cell r="H49" t="str">
            <v>중부지점</v>
          </cell>
          <cell r="I49" t="str">
            <v>서울 중구 태평로 1가 61</v>
          </cell>
          <cell r="J49" t="str">
            <v>중부지점</v>
          </cell>
          <cell r="K49" t="str">
            <v>중부지점</v>
          </cell>
          <cell r="L49" t="str">
            <v>지점장</v>
          </cell>
          <cell r="M49" t="str">
            <v xml:space="preserve"> 김태수</v>
          </cell>
          <cell r="N49">
            <v>1655982</v>
          </cell>
        </row>
        <row r="50">
          <cell r="A50">
            <v>50</v>
          </cell>
          <cell r="B50">
            <v>80</v>
          </cell>
          <cell r="C50" t="str">
            <v>이미경</v>
          </cell>
          <cell r="D50">
            <v>24</v>
          </cell>
          <cell r="E50">
            <v>8009272057910</v>
          </cell>
          <cell r="F50" t="str">
            <v>2002.01.02</v>
          </cell>
          <cell r="G50" t="str">
            <v>비서,타자사무원(411)</v>
          </cell>
          <cell r="H50" t="str">
            <v>부천지점</v>
          </cell>
          <cell r="I50" t="str">
            <v>서울 중구 태평로 1가 61</v>
          </cell>
          <cell r="J50" t="str">
            <v>부천지점</v>
          </cell>
          <cell r="K50" t="str">
            <v>부천지점</v>
          </cell>
          <cell r="L50" t="str">
            <v>지점장</v>
          </cell>
          <cell r="M50" t="str">
            <v>이재현</v>
          </cell>
          <cell r="N50">
            <v>1005634</v>
          </cell>
        </row>
        <row r="51">
          <cell r="A51">
            <v>51</v>
          </cell>
          <cell r="B51">
            <v>46</v>
          </cell>
          <cell r="C51" t="str">
            <v>엄동섭</v>
          </cell>
          <cell r="D51">
            <v>58</v>
          </cell>
          <cell r="E51">
            <v>4612251024543</v>
          </cell>
          <cell r="F51" t="str">
            <v>2002.01.02</v>
          </cell>
          <cell r="G51" t="str">
            <v>도서,우편 및 관련사무원(414)</v>
          </cell>
          <cell r="H51" t="str">
            <v>부천지점</v>
          </cell>
          <cell r="I51" t="str">
            <v>서울 중구 태평로 1가 61</v>
          </cell>
          <cell r="J51" t="str">
            <v>부천지점</v>
          </cell>
          <cell r="K51" t="str">
            <v>부천지점</v>
          </cell>
          <cell r="L51" t="str">
            <v>지점장</v>
          </cell>
          <cell r="M51" t="str">
            <v>이재현</v>
          </cell>
          <cell r="N51">
            <v>1523564</v>
          </cell>
        </row>
        <row r="52">
          <cell r="A52">
            <v>52</v>
          </cell>
          <cell r="B52">
            <v>79</v>
          </cell>
          <cell r="C52" t="str">
            <v>원혜영</v>
          </cell>
          <cell r="D52">
            <v>25</v>
          </cell>
          <cell r="E52">
            <v>7905282037426</v>
          </cell>
          <cell r="F52" t="str">
            <v>2002.01.02</v>
          </cell>
          <cell r="G52" t="str">
            <v>비서,타자사무원(411)</v>
          </cell>
          <cell r="H52" t="str">
            <v>성남지점</v>
          </cell>
          <cell r="I52" t="str">
            <v>서울 중구 태평로 1가 61</v>
          </cell>
          <cell r="J52" t="str">
            <v>성남지점</v>
          </cell>
          <cell r="K52" t="str">
            <v>성남지점</v>
          </cell>
          <cell r="L52" t="str">
            <v>지점장</v>
          </cell>
          <cell r="M52" t="str">
            <v>최은택</v>
          </cell>
          <cell r="N52">
            <v>1005634</v>
          </cell>
        </row>
        <row r="53">
          <cell r="A53">
            <v>53</v>
          </cell>
          <cell r="B53">
            <v>76</v>
          </cell>
          <cell r="C53" t="str">
            <v>최은옥</v>
          </cell>
          <cell r="D53">
            <v>28</v>
          </cell>
          <cell r="E53">
            <v>7610252392527</v>
          </cell>
          <cell r="F53" t="str">
            <v>2002.01.02</v>
          </cell>
          <cell r="G53" t="str">
            <v>비서,타자사무원(411)</v>
          </cell>
          <cell r="H53" t="str">
            <v>성남지점</v>
          </cell>
          <cell r="I53" t="str">
            <v>서울 중구 태평로 1가 61</v>
          </cell>
          <cell r="J53" t="str">
            <v>성남지점</v>
          </cell>
          <cell r="K53" t="str">
            <v>성남지점</v>
          </cell>
          <cell r="L53" t="str">
            <v>지점장</v>
          </cell>
          <cell r="M53" t="str">
            <v>최은택</v>
          </cell>
          <cell r="N53">
            <v>880035</v>
          </cell>
        </row>
        <row r="54">
          <cell r="A54">
            <v>54</v>
          </cell>
          <cell r="B54">
            <v>42</v>
          </cell>
          <cell r="C54" t="str">
            <v>이재성</v>
          </cell>
          <cell r="D54">
            <v>62</v>
          </cell>
          <cell r="E54">
            <v>4205111019613</v>
          </cell>
          <cell r="F54" t="str">
            <v>2002.01.02</v>
          </cell>
          <cell r="G54" t="str">
            <v>도서,우편 및 관련사무원(414)</v>
          </cell>
          <cell r="H54" t="str">
            <v>성남지점</v>
          </cell>
          <cell r="I54" t="str">
            <v>서울 중구 태평로 1가 61</v>
          </cell>
          <cell r="J54" t="str">
            <v>성남지점</v>
          </cell>
          <cell r="K54" t="str">
            <v>성남지점</v>
          </cell>
          <cell r="L54" t="str">
            <v>지점장</v>
          </cell>
          <cell r="M54" t="str">
            <v>최은택</v>
          </cell>
          <cell r="N54">
            <v>1655982</v>
          </cell>
        </row>
        <row r="55">
          <cell r="A55">
            <v>55</v>
          </cell>
          <cell r="B55">
            <v>78</v>
          </cell>
          <cell r="C55" t="str">
            <v>임연정</v>
          </cell>
          <cell r="D55">
            <v>26</v>
          </cell>
          <cell r="E55">
            <v>7812132162015</v>
          </cell>
          <cell r="F55" t="str">
            <v>2002.01.02</v>
          </cell>
          <cell r="G55" t="str">
            <v>비서,타자사무원(411)</v>
          </cell>
          <cell r="H55" t="str">
            <v>수원지점</v>
          </cell>
          <cell r="I55" t="str">
            <v>서울 중구 태평로 1가 61</v>
          </cell>
          <cell r="J55" t="str">
            <v>수원지점</v>
          </cell>
          <cell r="K55" t="str">
            <v>수원지점</v>
          </cell>
          <cell r="L55" t="str">
            <v>지점장</v>
          </cell>
          <cell r="M55" t="str">
            <v xml:space="preserve"> 원선재</v>
          </cell>
          <cell r="N55">
            <v>942835</v>
          </cell>
        </row>
        <row r="56">
          <cell r="A56">
            <v>56</v>
          </cell>
          <cell r="B56">
            <v>45</v>
          </cell>
          <cell r="C56" t="str">
            <v>윤주호</v>
          </cell>
          <cell r="D56">
            <v>59</v>
          </cell>
          <cell r="E56">
            <v>4502171162911</v>
          </cell>
          <cell r="F56" t="str">
            <v>2002.01.02</v>
          </cell>
          <cell r="G56" t="str">
            <v>도서,우편 및 관련사무원(414)</v>
          </cell>
          <cell r="H56" t="str">
            <v>수원지점</v>
          </cell>
          <cell r="I56" t="str">
            <v>서울 중구 태평로 1가 61</v>
          </cell>
          <cell r="J56" t="str">
            <v>수원지점</v>
          </cell>
          <cell r="K56" t="str">
            <v>수원지점</v>
          </cell>
          <cell r="L56" t="str">
            <v>지점장</v>
          </cell>
          <cell r="M56" t="str">
            <v xml:space="preserve"> 원선재</v>
          </cell>
          <cell r="N56">
            <v>1655982</v>
          </cell>
        </row>
        <row r="57">
          <cell r="A57">
            <v>57</v>
          </cell>
          <cell r="B57">
            <v>79</v>
          </cell>
          <cell r="C57" t="str">
            <v>김효진</v>
          </cell>
          <cell r="D57">
            <v>25</v>
          </cell>
          <cell r="E57">
            <v>7908121155219</v>
          </cell>
          <cell r="F57" t="str">
            <v>2002.01.02</v>
          </cell>
          <cell r="G57" t="str">
            <v>비서,타자사무원(411)</v>
          </cell>
          <cell r="H57" t="str">
            <v>안산지점</v>
          </cell>
          <cell r="I57" t="str">
            <v>서울 중구 태평로 1가 61</v>
          </cell>
          <cell r="J57" t="str">
            <v>안산지점</v>
          </cell>
          <cell r="K57" t="str">
            <v>안산지점</v>
          </cell>
          <cell r="L57" t="str">
            <v>지점장</v>
          </cell>
          <cell r="M57" t="str">
            <v>김경훈</v>
          </cell>
          <cell r="N57">
            <v>880035</v>
          </cell>
        </row>
        <row r="58">
          <cell r="A58">
            <v>58</v>
          </cell>
          <cell r="B58">
            <v>81</v>
          </cell>
          <cell r="C58" t="str">
            <v>이나연</v>
          </cell>
          <cell r="D58">
            <v>23</v>
          </cell>
          <cell r="E58">
            <v>8112092476418</v>
          </cell>
          <cell r="F58" t="str">
            <v>2002.01.02</v>
          </cell>
          <cell r="G58" t="str">
            <v>비서,타자사무원(411)</v>
          </cell>
          <cell r="H58" t="str">
            <v>안산지점</v>
          </cell>
          <cell r="I58" t="str">
            <v>서울 중구 태평로 1가 61</v>
          </cell>
          <cell r="J58" t="str">
            <v>안산지점</v>
          </cell>
          <cell r="K58" t="str">
            <v>안산지점</v>
          </cell>
          <cell r="L58" t="str">
            <v>지점장</v>
          </cell>
          <cell r="M58" t="str">
            <v>김경훈</v>
          </cell>
          <cell r="N58">
            <v>880035</v>
          </cell>
        </row>
        <row r="59">
          <cell r="A59">
            <v>59</v>
          </cell>
          <cell r="B59">
            <v>79</v>
          </cell>
          <cell r="C59" t="str">
            <v>최성기</v>
          </cell>
          <cell r="D59">
            <v>25</v>
          </cell>
          <cell r="E59">
            <v>7904071538619</v>
          </cell>
          <cell r="F59" t="str">
            <v>2002.01.02</v>
          </cell>
          <cell r="G59" t="str">
            <v>비서,타자사무원(411)</v>
          </cell>
          <cell r="H59" t="str">
            <v>오산지점</v>
          </cell>
          <cell r="I59" t="str">
            <v>서울 중구 태평로 1가 61</v>
          </cell>
          <cell r="J59" t="str">
            <v>오산지점</v>
          </cell>
          <cell r="K59" t="str">
            <v>오산지점</v>
          </cell>
          <cell r="L59" t="str">
            <v>지점장</v>
          </cell>
          <cell r="M59" t="str">
            <v xml:space="preserve"> 권중행</v>
          </cell>
          <cell r="N59">
            <v>880035</v>
          </cell>
        </row>
        <row r="60">
          <cell r="A60">
            <v>60</v>
          </cell>
          <cell r="B60">
            <v>74</v>
          </cell>
          <cell r="C60" t="str">
            <v>김춘희</v>
          </cell>
          <cell r="D60">
            <v>30</v>
          </cell>
          <cell r="E60">
            <v>7409062173511</v>
          </cell>
          <cell r="F60" t="str">
            <v>2002.01.02</v>
          </cell>
          <cell r="G60" t="str">
            <v>비서,타자사무원(411)</v>
          </cell>
          <cell r="H60" t="str">
            <v>의정부지점</v>
          </cell>
          <cell r="I60" t="str">
            <v>서울 중구 태평로 1가 61</v>
          </cell>
          <cell r="J60" t="str">
            <v>의정부지점</v>
          </cell>
          <cell r="K60" t="str">
            <v>의정부지점</v>
          </cell>
          <cell r="L60" t="str">
            <v>지점장</v>
          </cell>
          <cell r="M60" t="str">
            <v>박운기</v>
          </cell>
          <cell r="N60">
            <v>880035</v>
          </cell>
        </row>
        <row r="61">
          <cell r="A61">
            <v>61</v>
          </cell>
          <cell r="B61">
            <v>77</v>
          </cell>
          <cell r="C61" t="str">
            <v>김상규</v>
          </cell>
          <cell r="D61">
            <v>27</v>
          </cell>
          <cell r="E61">
            <v>7707131340115</v>
          </cell>
          <cell r="F61" t="str">
            <v>2002.01.01</v>
          </cell>
          <cell r="G61" t="str">
            <v>비서,타자사무원(411)</v>
          </cell>
          <cell r="H61" t="str">
            <v>인천지점</v>
          </cell>
          <cell r="I61" t="str">
            <v>서울 중구 태평로 1가 61</v>
          </cell>
          <cell r="J61" t="str">
            <v>인천지점</v>
          </cell>
          <cell r="K61" t="str">
            <v>인천지점</v>
          </cell>
          <cell r="L61" t="str">
            <v>지점장</v>
          </cell>
          <cell r="M61" t="str">
            <v>안병철</v>
          </cell>
          <cell r="N61">
            <v>942835</v>
          </cell>
        </row>
        <row r="62">
          <cell r="A62">
            <v>62</v>
          </cell>
          <cell r="B62">
            <v>80</v>
          </cell>
          <cell r="C62" t="str">
            <v>박우리별</v>
          </cell>
          <cell r="D62">
            <v>24</v>
          </cell>
          <cell r="E62">
            <v>8002192068910</v>
          </cell>
          <cell r="F62" t="str">
            <v>2002.01.02</v>
          </cell>
          <cell r="G62" t="str">
            <v>비서,타자사무원(411)</v>
          </cell>
          <cell r="H62" t="str">
            <v>일산지점</v>
          </cell>
          <cell r="I62" t="str">
            <v>서울 중구 태평로 1가 61</v>
          </cell>
          <cell r="J62" t="str">
            <v>일산지점</v>
          </cell>
          <cell r="K62" t="str">
            <v>일산지점</v>
          </cell>
          <cell r="L62" t="str">
            <v>지점장</v>
          </cell>
          <cell r="M62" t="str">
            <v>이영기</v>
          </cell>
          <cell r="N62">
            <v>880035</v>
          </cell>
        </row>
        <row r="63">
          <cell r="A63">
            <v>63</v>
          </cell>
          <cell r="B63">
            <v>80</v>
          </cell>
          <cell r="C63" t="str">
            <v>김나현</v>
          </cell>
          <cell r="D63">
            <v>24</v>
          </cell>
          <cell r="E63">
            <v>8010032065511</v>
          </cell>
          <cell r="F63" t="str">
            <v>2002.01.02</v>
          </cell>
          <cell r="G63" t="str">
            <v>비서,타자사무원(411)</v>
          </cell>
          <cell r="H63" t="str">
            <v>일산지점</v>
          </cell>
          <cell r="I63" t="str">
            <v>서울 중구 태평로 1가 61</v>
          </cell>
          <cell r="J63" t="str">
            <v>일산지점</v>
          </cell>
          <cell r="K63" t="str">
            <v>일산지점</v>
          </cell>
          <cell r="L63" t="str">
            <v>지점장</v>
          </cell>
          <cell r="M63" t="str">
            <v>이영기</v>
          </cell>
          <cell r="N63">
            <v>880035</v>
          </cell>
        </row>
        <row r="64">
          <cell r="A64">
            <v>64</v>
          </cell>
          <cell r="B64">
            <v>78</v>
          </cell>
          <cell r="C64" t="str">
            <v>이경식</v>
          </cell>
          <cell r="D64">
            <v>26</v>
          </cell>
          <cell r="E64">
            <v>7808251810317</v>
          </cell>
          <cell r="F64" t="str">
            <v>2002.01.02</v>
          </cell>
          <cell r="G64" t="str">
            <v>비서,타자사무원(411)</v>
          </cell>
          <cell r="H64" t="str">
            <v>남부지점</v>
          </cell>
          <cell r="I64" t="str">
            <v>서울 중구 태평로 1가 61</v>
          </cell>
          <cell r="J64" t="str">
            <v>남부지점</v>
          </cell>
          <cell r="K64" t="str">
            <v>남부지점</v>
          </cell>
          <cell r="L64" t="str">
            <v>지점장</v>
          </cell>
          <cell r="M64" t="str">
            <v>변동조</v>
          </cell>
          <cell r="N64">
            <v>880035</v>
          </cell>
        </row>
        <row r="65">
          <cell r="A65">
            <v>65</v>
          </cell>
          <cell r="B65">
            <v>79</v>
          </cell>
          <cell r="C65" t="str">
            <v>김선정</v>
          </cell>
          <cell r="D65">
            <v>25</v>
          </cell>
          <cell r="E65">
            <v>7909282030929</v>
          </cell>
          <cell r="F65" t="str">
            <v>2002.01.02</v>
          </cell>
          <cell r="G65" t="str">
            <v>비서,타자사무원(411)</v>
          </cell>
          <cell r="H65" t="str">
            <v>동부지점</v>
          </cell>
          <cell r="I65" t="str">
            <v>서울 중구 태평로 1가 61</v>
          </cell>
          <cell r="J65" t="str">
            <v>동부지점</v>
          </cell>
          <cell r="K65" t="str">
            <v>동부지점</v>
          </cell>
          <cell r="L65" t="str">
            <v>지점장</v>
          </cell>
          <cell r="M65" t="str">
            <v>김환룡</v>
          </cell>
          <cell r="N65">
            <v>880035</v>
          </cell>
        </row>
        <row r="66">
          <cell r="A66">
            <v>66</v>
          </cell>
          <cell r="B66">
            <v>75</v>
          </cell>
          <cell r="C66" t="str">
            <v>백재연</v>
          </cell>
          <cell r="D66">
            <v>29</v>
          </cell>
          <cell r="E66">
            <v>7512132036112</v>
          </cell>
          <cell r="F66" t="str">
            <v>2002.01.24</v>
          </cell>
          <cell r="G66" t="str">
            <v>비서,타자사무원(411)</v>
          </cell>
          <cell r="H66" t="str">
            <v>안산지점</v>
          </cell>
          <cell r="I66" t="str">
            <v>서울 중구 태평로 1가 61</v>
          </cell>
          <cell r="J66" t="str">
            <v>안산지점</v>
          </cell>
          <cell r="K66" t="str">
            <v>안산지점</v>
          </cell>
          <cell r="L66" t="str">
            <v>지점장</v>
          </cell>
          <cell r="M66" t="str">
            <v>김경훈</v>
          </cell>
          <cell r="N66">
            <v>880035</v>
          </cell>
        </row>
        <row r="67">
          <cell r="A67">
            <v>67</v>
          </cell>
          <cell r="B67">
            <v>82</v>
          </cell>
          <cell r="C67" t="str">
            <v>양희은</v>
          </cell>
          <cell r="D67">
            <v>22</v>
          </cell>
          <cell r="E67">
            <v>8212092260911</v>
          </cell>
          <cell r="F67" t="str">
            <v>2002.01.02</v>
          </cell>
          <cell r="G67" t="str">
            <v>비서,타자사무원(411)</v>
          </cell>
          <cell r="H67" t="str">
            <v>춘천지점</v>
          </cell>
          <cell r="I67" t="str">
            <v>서울 중구 태평로 1가 61</v>
          </cell>
          <cell r="J67" t="str">
            <v>춘천지점</v>
          </cell>
          <cell r="K67" t="str">
            <v>춘천지점</v>
          </cell>
          <cell r="L67" t="str">
            <v>지점장</v>
          </cell>
          <cell r="M67" t="str">
            <v>나상수</v>
          </cell>
          <cell r="N67">
            <v>880035</v>
          </cell>
        </row>
        <row r="68">
          <cell r="A68">
            <v>68</v>
          </cell>
          <cell r="B68">
            <v>80</v>
          </cell>
          <cell r="C68" t="str">
            <v>이미향</v>
          </cell>
          <cell r="D68">
            <v>24</v>
          </cell>
          <cell r="E68">
            <v>8002232183545</v>
          </cell>
          <cell r="F68" t="str">
            <v>2002.01.02</v>
          </cell>
          <cell r="G68" t="str">
            <v>비서,타자사무원(411)</v>
          </cell>
          <cell r="H68" t="str">
            <v>강릉지점</v>
          </cell>
          <cell r="I68" t="str">
            <v>서울 중구 태평로 1가 61</v>
          </cell>
          <cell r="J68" t="str">
            <v>강릉지점</v>
          </cell>
          <cell r="K68" t="str">
            <v>강릉지점</v>
          </cell>
          <cell r="L68" t="str">
            <v>지점장</v>
          </cell>
          <cell r="M68" t="str">
            <v>박기학</v>
          </cell>
          <cell r="N68">
            <v>880035</v>
          </cell>
        </row>
        <row r="69">
          <cell r="A69">
            <v>69</v>
          </cell>
          <cell r="B69">
            <v>75</v>
          </cell>
          <cell r="C69" t="str">
            <v>서태원</v>
          </cell>
          <cell r="D69">
            <v>29</v>
          </cell>
          <cell r="E69">
            <v>7506271168115</v>
          </cell>
          <cell r="F69" t="str">
            <v>2002.01.02</v>
          </cell>
          <cell r="G69" t="str">
            <v>비서,타자사무원(411)</v>
          </cell>
          <cell r="H69" t="str">
            <v>대전지점</v>
          </cell>
          <cell r="I69" t="str">
            <v>서울 중구 태평로 1가 61</v>
          </cell>
          <cell r="J69" t="str">
            <v>대전지점</v>
          </cell>
          <cell r="K69" t="str">
            <v>대전지점</v>
          </cell>
          <cell r="L69" t="str">
            <v>지점장</v>
          </cell>
          <cell r="M69" t="str">
            <v>이종진</v>
          </cell>
          <cell r="N69">
            <v>848636</v>
          </cell>
        </row>
        <row r="70">
          <cell r="A70">
            <v>70</v>
          </cell>
          <cell r="B70">
            <v>74</v>
          </cell>
          <cell r="C70" t="str">
            <v>강윤미</v>
          </cell>
          <cell r="D70">
            <v>30</v>
          </cell>
          <cell r="E70">
            <v>7407112461018</v>
          </cell>
          <cell r="F70" t="str">
            <v>2002.01.02</v>
          </cell>
          <cell r="G70" t="str">
            <v>비서,타자사무원(411)</v>
          </cell>
          <cell r="H70" t="str">
            <v>천안지점</v>
          </cell>
          <cell r="I70" t="str">
            <v>서울 중구 태평로 1가 61</v>
          </cell>
          <cell r="J70" t="str">
            <v>천안지점</v>
          </cell>
          <cell r="K70" t="str">
            <v>천안지점</v>
          </cell>
          <cell r="L70" t="str">
            <v>지점장</v>
          </cell>
          <cell r="M70" t="str">
            <v>최길주</v>
          </cell>
          <cell r="N70">
            <v>785837</v>
          </cell>
        </row>
        <row r="71">
          <cell r="A71">
            <v>71</v>
          </cell>
          <cell r="B71">
            <v>75</v>
          </cell>
          <cell r="C71" t="str">
            <v>김은주</v>
          </cell>
          <cell r="D71">
            <v>29</v>
          </cell>
          <cell r="E71">
            <v>7507252466325</v>
          </cell>
          <cell r="F71" t="str">
            <v>2002.01.02</v>
          </cell>
          <cell r="G71" t="str">
            <v>비서,타자사무원(411)</v>
          </cell>
          <cell r="H71" t="str">
            <v>홍성지점</v>
          </cell>
          <cell r="I71" t="str">
            <v>충남 홍성군  홍성읍 오관리 382-4</v>
          </cell>
          <cell r="J71" t="str">
            <v>홍성지점</v>
          </cell>
          <cell r="K71" t="str">
            <v>홍성지점</v>
          </cell>
          <cell r="L71" t="str">
            <v>지점장</v>
          </cell>
          <cell r="M71" t="str">
            <v>최장근</v>
          </cell>
          <cell r="N71">
            <v>880035</v>
          </cell>
        </row>
        <row r="72">
          <cell r="A72">
            <v>72</v>
          </cell>
          <cell r="B72">
            <v>76</v>
          </cell>
          <cell r="C72" t="str">
            <v>김미영</v>
          </cell>
          <cell r="D72">
            <v>28</v>
          </cell>
          <cell r="E72">
            <v>7610262380811</v>
          </cell>
          <cell r="F72" t="str">
            <v>2002.01.02</v>
          </cell>
          <cell r="G72" t="str">
            <v>비서,타자사무원(411)</v>
          </cell>
          <cell r="H72" t="str">
            <v>청주지점</v>
          </cell>
          <cell r="I72" t="str">
            <v>충북 청주시 상당구 북문로1가 68-11</v>
          </cell>
          <cell r="J72" t="str">
            <v>청주지점</v>
          </cell>
          <cell r="K72" t="str">
            <v>청주지점</v>
          </cell>
          <cell r="L72" t="str">
            <v>지점장</v>
          </cell>
          <cell r="M72" t="str">
            <v>정철영</v>
          </cell>
          <cell r="N72">
            <v>880035</v>
          </cell>
        </row>
        <row r="73">
          <cell r="A73">
            <v>73</v>
          </cell>
          <cell r="B73">
            <v>73</v>
          </cell>
          <cell r="C73" t="str">
            <v>최소진</v>
          </cell>
          <cell r="D73">
            <v>31</v>
          </cell>
          <cell r="E73">
            <v>7305112051111</v>
          </cell>
          <cell r="F73" t="str">
            <v>2002.01.02</v>
          </cell>
          <cell r="G73" t="str">
            <v>비서,타자사무원(411)</v>
          </cell>
          <cell r="H73" t="str">
            <v>충주지점</v>
          </cell>
          <cell r="I73" t="str">
            <v>충북 충주시 교현동 1113</v>
          </cell>
          <cell r="J73" t="str">
            <v>충주지점</v>
          </cell>
          <cell r="K73" t="str">
            <v>충주지점</v>
          </cell>
          <cell r="L73" t="str">
            <v>지점장</v>
          </cell>
          <cell r="M73" t="str">
            <v>공재호</v>
          </cell>
          <cell r="N73">
            <v>880035</v>
          </cell>
        </row>
        <row r="74">
          <cell r="A74">
            <v>74</v>
          </cell>
          <cell r="B74">
            <v>83</v>
          </cell>
          <cell r="C74" t="str">
            <v>김경숙</v>
          </cell>
          <cell r="D74">
            <v>21</v>
          </cell>
          <cell r="E74">
            <v>8301102469117</v>
          </cell>
          <cell r="F74" t="str">
            <v>2002.01.02</v>
          </cell>
          <cell r="G74" t="str">
            <v>비서,타자사무원(411)</v>
          </cell>
          <cell r="H74" t="str">
            <v>홍성지점</v>
          </cell>
          <cell r="I74" t="str">
            <v>충남 홍성군  홍성읍 오관리 382-4</v>
          </cell>
          <cell r="J74" t="str">
            <v>홍성지점</v>
          </cell>
          <cell r="K74" t="str">
            <v>홍성지점</v>
          </cell>
          <cell r="L74" t="str">
            <v>지점장</v>
          </cell>
          <cell r="M74" t="str">
            <v>최장근</v>
          </cell>
          <cell r="N74">
            <v>817237</v>
          </cell>
        </row>
        <row r="75">
          <cell r="A75">
            <v>75</v>
          </cell>
          <cell r="B75">
            <v>79</v>
          </cell>
          <cell r="C75" t="str">
            <v>전미정</v>
          </cell>
          <cell r="D75">
            <v>25</v>
          </cell>
          <cell r="E75">
            <v>7908152397011</v>
          </cell>
          <cell r="F75" t="str">
            <v>2002.01.02</v>
          </cell>
          <cell r="G75" t="str">
            <v>비서,타자사무원(411)</v>
          </cell>
          <cell r="H75" t="str">
            <v>충주지점</v>
          </cell>
          <cell r="I75" t="str">
            <v>충북 충주시 교현동 1113</v>
          </cell>
          <cell r="J75" t="str">
            <v>충주지점</v>
          </cell>
          <cell r="K75" t="str">
            <v>충주지점</v>
          </cell>
          <cell r="L75" t="str">
            <v>지점장</v>
          </cell>
          <cell r="M75" t="str">
            <v>공재호</v>
          </cell>
          <cell r="N75">
            <v>880035</v>
          </cell>
        </row>
        <row r="76">
          <cell r="A76">
            <v>76</v>
          </cell>
          <cell r="B76">
            <v>44</v>
          </cell>
          <cell r="C76" t="str">
            <v>나오열</v>
          </cell>
          <cell r="D76">
            <v>60</v>
          </cell>
          <cell r="E76">
            <v>4410251260316</v>
          </cell>
          <cell r="F76" t="str">
            <v>2002.01.02</v>
          </cell>
          <cell r="G76" t="str">
            <v>도서,우편 및 관련사무원(414)</v>
          </cell>
          <cell r="H76" t="str">
            <v>춘천지점</v>
          </cell>
          <cell r="I76" t="str">
            <v>강원도 춘천시 요선동 4-9</v>
          </cell>
          <cell r="J76" t="str">
            <v>춘천지점</v>
          </cell>
          <cell r="K76" t="str">
            <v>춘천지점</v>
          </cell>
          <cell r="L76" t="str">
            <v>지점장</v>
          </cell>
          <cell r="M76" t="str">
            <v>나상수</v>
          </cell>
          <cell r="N76">
            <v>1655982</v>
          </cell>
        </row>
        <row r="77">
          <cell r="A77">
            <v>77</v>
          </cell>
          <cell r="B77">
            <v>75</v>
          </cell>
          <cell r="C77" t="str">
            <v>이봉수</v>
          </cell>
          <cell r="D77">
            <v>29</v>
          </cell>
          <cell r="E77">
            <v>7503111345311</v>
          </cell>
          <cell r="F77" t="str">
            <v>2002.01.02</v>
          </cell>
          <cell r="G77" t="str">
            <v>도서,우편 및 관련사무원(414)</v>
          </cell>
          <cell r="H77" t="str">
            <v>강릉지점</v>
          </cell>
          <cell r="I77" t="str">
            <v>강원도 강릉시 옥천동 282-1</v>
          </cell>
          <cell r="J77" t="str">
            <v>강릉지점</v>
          </cell>
          <cell r="K77" t="str">
            <v>강릉지점</v>
          </cell>
          <cell r="L77" t="str">
            <v>지점장</v>
          </cell>
          <cell r="M77" t="str">
            <v>박기학</v>
          </cell>
          <cell r="N77">
            <v>1164528</v>
          </cell>
        </row>
        <row r="78">
          <cell r="A78">
            <v>78</v>
          </cell>
          <cell r="B78">
            <v>50</v>
          </cell>
          <cell r="C78" t="str">
            <v>황기정</v>
          </cell>
          <cell r="D78">
            <v>54</v>
          </cell>
          <cell r="E78">
            <v>5010111521017</v>
          </cell>
          <cell r="F78" t="str">
            <v>2002.01.02</v>
          </cell>
          <cell r="G78" t="str">
            <v>도서,우편 및 관련사무원(414)</v>
          </cell>
          <cell r="H78" t="str">
            <v>천안지점</v>
          </cell>
          <cell r="I78" t="str">
            <v>충남 천안시 원성동 129-2</v>
          </cell>
          <cell r="J78" t="str">
            <v>천안지점</v>
          </cell>
          <cell r="K78" t="str">
            <v>천안지점</v>
          </cell>
          <cell r="L78" t="str">
            <v>지점장</v>
          </cell>
          <cell r="M78" t="str">
            <v>최길주</v>
          </cell>
          <cell r="N78">
            <v>1523564</v>
          </cell>
        </row>
        <row r="79">
          <cell r="A79">
            <v>79</v>
          </cell>
          <cell r="B79">
            <v>72</v>
          </cell>
          <cell r="C79" t="str">
            <v>정병섭</v>
          </cell>
          <cell r="D79">
            <v>32</v>
          </cell>
          <cell r="E79">
            <v>7206031467311</v>
          </cell>
          <cell r="F79" t="str">
            <v>2002.01.02</v>
          </cell>
          <cell r="G79" t="str">
            <v>도서,우편 및 관련사무원(414)</v>
          </cell>
          <cell r="H79" t="str">
            <v>홍성지점</v>
          </cell>
          <cell r="I79" t="str">
            <v>충남 홍성군  홍성읍 오관리 382-4</v>
          </cell>
          <cell r="J79" t="str">
            <v>홍성지점</v>
          </cell>
          <cell r="K79" t="str">
            <v>홍성지점</v>
          </cell>
          <cell r="L79" t="str">
            <v>지점장</v>
          </cell>
          <cell r="M79" t="str">
            <v>최장근</v>
          </cell>
          <cell r="N79">
            <v>1197171</v>
          </cell>
        </row>
        <row r="80">
          <cell r="A80">
            <v>80</v>
          </cell>
          <cell r="B80">
            <v>69</v>
          </cell>
          <cell r="C80" t="str">
            <v>오상진</v>
          </cell>
          <cell r="D80">
            <v>35</v>
          </cell>
          <cell r="E80">
            <v>6910051357335</v>
          </cell>
          <cell r="F80" t="str">
            <v>2002.01.02</v>
          </cell>
          <cell r="G80" t="str">
            <v>도서,우편 및 관련사무원(414)</v>
          </cell>
          <cell r="H80" t="str">
            <v>충주지점</v>
          </cell>
          <cell r="I80" t="str">
            <v>충북 충주시 교현동 1113</v>
          </cell>
          <cell r="J80" t="str">
            <v>충주지점</v>
          </cell>
          <cell r="K80" t="str">
            <v>충주지점</v>
          </cell>
          <cell r="L80" t="str">
            <v>지점장</v>
          </cell>
          <cell r="M80" t="str">
            <v>공재호</v>
          </cell>
          <cell r="N80">
            <v>1197171</v>
          </cell>
        </row>
        <row r="81">
          <cell r="A81">
            <v>81</v>
          </cell>
          <cell r="B81">
            <v>81</v>
          </cell>
          <cell r="C81" t="str">
            <v>이미정</v>
          </cell>
          <cell r="D81">
            <v>23</v>
          </cell>
          <cell r="E81">
            <v>8102202790528</v>
          </cell>
          <cell r="F81" t="str">
            <v>2002.01.02</v>
          </cell>
          <cell r="G81" t="str">
            <v>비서,타자사무원(411)</v>
          </cell>
          <cell r="H81" t="str">
            <v>대구지점</v>
          </cell>
          <cell r="I81" t="str">
            <v>대구 동구 신천동 111</v>
          </cell>
          <cell r="J81" t="str">
            <v>대구지점</v>
          </cell>
          <cell r="K81" t="str">
            <v>대구지점</v>
          </cell>
          <cell r="L81" t="str">
            <v>지점장</v>
          </cell>
          <cell r="M81" t="str">
            <v>손철호</v>
          </cell>
          <cell r="N81">
            <v>880035</v>
          </cell>
        </row>
        <row r="82">
          <cell r="A82">
            <v>82</v>
          </cell>
          <cell r="B82">
            <v>76</v>
          </cell>
          <cell r="C82" t="str">
            <v>강해숙</v>
          </cell>
          <cell r="D82">
            <v>28</v>
          </cell>
          <cell r="E82">
            <v>7612172803224</v>
          </cell>
          <cell r="F82" t="str">
            <v>2002.01.02</v>
          </cell>
          <cell r="G82" t="str">
            <v>비서,타자사무원(411)</v>
          </cell>
          <cell r="H82" t="str">
            <v>구미지점</v>
          </cell>
          <cell r="I82" t="str">
            <v>경북 구미시 송정동 46-2</v>
          </cell>
          <cell r="J82" t="str">
            <v>구미지점</v>
          </cell>
          <cell r="K82" t="str">
            <v>구미지점</v>
          </cell>
          <cell r="L82" t="str">
            <v>지점장</v>
          </cell>
          <cell r="M82" t="str">
            <v>이승재</v>
          </cell>
          <cell r="N82">
            <v>848636</v>
          </cell>
        </row>
        <row r="83">
          <cell r="A83">
            <v>83</v>
          </cell>
          <cell r="B83">
            <v>75</v>
          </cell>
          <cell r="C83" t="str">
            <v>김재희</v>
          </cell>
          <cell r="D83">
            <v>29</v>
          </cell>
          <cell r="E83">
            <v>7507172229916</v>
          </cell>
          <cell r="F83" t="str">
            <v>2002.01.02</v>
          </cell>
          <cell r="G83" t="str">
            <v>비서,타자사무원(411)</v>
          </cell>
          <cell r="H83" t="str">
            <v>안동지점</v>
          </cell>
          <cell r="I83" t="str">
            <v>경북 안동시 당북동 333-3</v>
          </cell>
          <cell r="J83" t="str">
            <v>안동지점</v>
          </cell>
          <cell r="K83" t="str">
            <v>안동지점</v>
          </cell>
          <cell r="L83" t="str">
            <v>지점장</v>
          </cell>
          <cell r="M83" t="str">
            <v xml:space="preserve"> 변성렬</v>
          </cell>
          <cell r="N83">
            <v>848636</v>
          </cell>
        </row>
        <row r="84">
          <cell r="A84">
            <v>84</v>
          </cell>
          <cell r="B84">
            <v>81</v>
          </cell>
          <cell r="C84" t="str">
            <v>서희은</v>
          </cell>
          <cell r="D84">
            <v>23</v>
          </cell>
          <cell r="E84">
            <v>8101262783416</v>
          </cell>
          <cell r="F84" t="str">
            <v>2002.01.02</v>
          </cell>
          <cell r="G84" t="str">
            <v>비서,타자사무원(411)</v>
          </cell>
          <cell r="H84" t="str">
            <v>포항지점</v>
          </cell>
          <cell r="I84" t="str">
            <v>경북 포항시 남구 해도동 33-12 502호</v>
          </cell>
          <cell r="J84" t="str">
            <v>포항지점</v>
          </cell>
          <cell r="K84" t="str">
            <v>포항지점</v>
          </cell>
          <cell r="L84" t="str">
            <v>지점장</v>
          </cell>
          <cell r="M84" t="str">
            <v>지화진</v>
          </cell>
          <cell r="N84">
            <v>785837</v>
          </cell>
        </row>
        <row r="85">
          <cell r="A85">
            <v>85</v>
          </cell>
          <cell r="B85">
            <v>75</v>
          </cell>
          <cell r="C85" t="str">
            <v>최미숙</v>
          </cell>
          <cell r="D85">
            <v>29</v>
          </cell>
          <cell r="E85">
            <v>7502252774611</v>
          </cell>
          <cell r="F85" t="str">
            <v>2002.01.02</v>
          </cell>
          <cell r="G85" t="str">
            <v>도서,우편 및 관련사무원(414)</v>
          </cell>
          <cell r="H85" t="str">
            <v>안동지점</v>
          </cell>
          <cell r="I85" t="str">
            <v>경북 안동시 당북동 333-3</v>
          </cell>
          <cell r="J85" t="str">
            <v>안동지점</v>
          </cell>
          <cell r="K85" t="str">
            <v>안동지점</v>
          </cell>
          <cell r="L85" t="str">
            <v>지점장</v>
          </cell>
          <cell r="M85" t="str">
            <v xml:space="preserve"> 변성렬</v>
          </cell>
          <cell r="N85">
            <v>880035</v>
          </cell>
        </row>
        <row r="86">
          <cell r="A86">
            <v>86</v>
          </cell>
          <cell r="B86">
            <v>76</v>
          </cell>
          <cell r="C86" t="str">
            <v>장철호</v>
          </cell>
          <cell r="D86">
            <v>28</v>
          </cell>
          <cell r="E86">
            <v>7608061117817</v>
          </cell>
          <cell r="F86" t="str">
            <v>2002.01.02</v>
          </cell>
          <cell r="G86" t="str">
            <v>비서,타자사무원(411)</v>
          </cell>
          <cell r="H86" t="str">
            <v>부산지점</v>
          </cell>
          <cell r="I86" t="str">
            <v>부산 동구 초량 3동 1157-5</v>
          </cell>
          <cell r="J86" t="str">
            <v>부산지점</v>
          </cell>
          <cell r="K86" t="str">
            <v>부산지점</v>
          </cell>
          <cell r="L86" t="str">
            <v>지점장</v>
          </cell>
          <cell r="M86" t="str">
            <v>하준문</v>
          </cell>
          <cell r="N86">
            <v>880035</v>
          </cell>
        </row>
        <row r="87">
          <cell r="A87">
            <v>87</v>
          </cell>
          <cell r="B87">
            <v>79</v>
          </cell>
          <cell r="C87" t="str">
            <v>정수미</v>
          </cell>
          <cell r="D87">
            <v>25</v>
          </cell>
          <cell r="E87">
            <v>7906202124221</v>
          </cell>
          <cell r="F87" t="str">
            <v>2002.01.02</v>
          </cell>
          <cell r="G87" t="str">
            <v>비서,타자사무원(411)</v>
          </cell>
          <cell r="H87" t="str">
            <v>동래지점</v>
          </cell>
          <cell r="I87" t="str">
            <v>부산 연제구 거제1동 150-6</v>
          </cell>
          <cell r="J87" t="str">
            <v>동래지점</v>
          </cell>
          <cell r="K87" t="str">
            <v>동래지점</v>
          </cell>
          <cell r="L87" t="str">
            <v>지점장</v>
          </cell>
          <cell r="M87" t="str">
            <v>박정호</v>
          </cell>
          <cell r="N87">
            <v>817237</v>
          </cell>
        </row>
        <row r="88">
          <cell r="A88">
            <v>88</v>
          </cell>
          <cell r="B88">
            <v>78</v>
          </cell>
          <cell r="C88" t="str">
            <v>박현숙</v>
          </cell>
          <cell r="D88">
            <v>26</v>
          </cell>
          <cell r="E88">
            <v>7802272850824</v>
          </cell>
          <cell r="F88" t="str">
            <v>2002.01.02</v>
          </cell>
          <cell r="G88" t="str">
            <v>비서,타자사무원(411)</v>
          </cell>
          <cell r="H88" t="str">
            <v>울산지점</v>
          </cell>
          <cell r="I88" t="str">
            <v>울산 남구 무거동 299-10</v>
          </cell>
          <cell r="J88" t="str">
            <v>울산지점</v>
          </cell>
          <cell r="K88" t="str">
            <v>울산지점</v>
          </cell>
          <cell r="L88" t="str">
            <v>지점장</v>
          </cell>
          <cell r="M88" t="str">
            <v>김상민</v>
          </cell>
          <cell r="N88">
            <v>942835</v>
          </cell>
        </row>
        <row r="89">
          <cell r="A89">
            <v>89</v>
          </cell>
          <cell r="B89">
            <v>79</v>
          </cell>
          <cell r="C89" t="str">
            <v>배경남</v>
          </cell>
          <cell r="D89">
            <v>25</v>
          </cell>
          <cell r="E89">
            <v>7911052892818</v>
          </cell>
          <cell r="F89" t="str">
            <v>2002.01.02</v>
          </cell>
          <cell r="G89" t="str">
            <v>비서,타자사무원(411)</v>
          </cell>
          <cell r="H89" t="str">
            <v>마산지점</v>
          </cell>
          <cell r="I89" t="str">
            <v>경남 마산시 오동동 105-1</v>
          </cell>
          <cell r="J89" t="str">
            <v>마산지점</v>
          </cell>
          <cell r="K89" t="str">
            <v>마산지점</v>
          </cell>
          <cell r="L89" t="str">
            <v>지점장</v>
          </cell>
          <cell r="M89" t="str">
            <v>이순범</v>
          </cell>
          <cell r="N89">
            <v>785837</v>
          </cell>
        </row>
        <row r="90">
          <cell r="A90">
            <v>90</v>
          </cell>
          <cell r="B90">
            <v>72</v>
          </cell>
          <cell r="C90" t="str">
            <v>허행점</v>
          </cell>
          <cell r="D90">
            <v>32</v>
          </cell>
          <cell r="E90">
            <v>7210082892118</v>
          </cell>
          <cell r="F90" t="str">
            <v>2002.01.02</v>
          </cell>
          <cell r="G90" t="str">
            <v>비서,타자사무원(411)</v>
          </cell>
          <cell r="H90" t="str">
            <v>진주지점</v>
          </cell>
          <cell r="I90" t="str">
            <v>경남 진주시 칠암동 414-4</v>
          </cell>
          <cell r="J90" t="str">
            <v>진주지점</v>
          </cell>
          <cell r="K90" t="str">
            <v>진주지점</v>
          </cell>
          <cell r="L90" t="str">
            <v>지점장</v>
          </cell>
          <cell r="M90" t="str">
            <v>하원욱</v>
          </cell>
          <cell r="N90">
            <v>1005634</v>
          </cell>
        </row>
        <row r="91">
          <cell r="A91">
            <v>91</v>
          </cell>
          <cell r="B91">
            <v>82</v>
          </cell>
          <cell r="C91" t="str">
            <v>박윤경</v>
          </cell>
          <cell r="D91">
            <v>22</v>
          </cell>
          <cell r="E91">
            <v>8202212143417</v>
          </cell>
          <cell r="F91" t="str">
            <v>2002.01.02</v>
          </cell>
          <cell r="G91" t="str">
            <v>비서,타자사무원(411)</v>
          </cell>
          <cell r="H91" t="str">
            <v>동래지점</v>
          </cell>
          <cell r="I91" t="str">
            <v>부산 연제구 거제1동 150-6</v>
          </cell>
          <cell r="J91" t="str">
            <v>동래지점</v>
          </cell>
          <cell r="K91" t="str">
            <v>동래지점</v>
          </cell>
          <cell r="L91" t="str">
            <v>지점장</v>
          </cell>
          <cell r="M91" t="str">
            <v>박정호</v>
          </cell>
          <cell r="N91">
            <v>785837</v>
          </cell>
        </row>
        <row r="92">
          <cell r="A92">
            <v>92</v>
          </cell>
          <cell r="B92">
            <v>79</v>
          </cell>
          <cell r="C92" t="str">
            <v>장민선</v>
          </cell>
          <cell r="D92">
            <v>25</v>
          </cell>
          <cell r="E92">
            <v>7908012849612</v>
          </cell>
          <cell r="F92" t="str">
            <v>2002.01.02</v>
          </cell>
          <cell r="G92" t="str">
            <v>비서,타자사무원(411)</v>
          </cell>
          <cell r="H92" t="str">
            <v>울산지점</v>
          </cell>
          <cell r="I92" t="str">
            <v>울산 남구 무거동 299-10</v>
          </cell>
          <cell r="J92" t="str">
            <v>울산지점</v>
          </cell>
          <cell r="K92" t="str">
            <v>울산지점</v>
          </cell>
          <cell r="L92" t="str">
            <v>지점장</v>
          </cell>
          <cell r="M92" t="str">
            <v>김상민</v>
          </cell>
          <cell r="N92">
            <v>817237</v>
          </cell>
        </row>
        <row r="93">
          <cell r="A93">
            <v>93</v>
          </cell>
          <cell r="B93">
            <v>77</v>
          </cell>
          <cell r="C93" t="str">
            <v>김선주</v>
          </cell>
          <cell r="D93">
            <v>27</v>
          </cell>
          <cell r="E93">
            <v>7706281639414</v>
          </cell>
          <cell r="F93" t="str">
            <v>2002.01.02</v>
          </cell>
          <cell r="G93" t="str">
            <v>도서,우편 및 관련사무원(414)</v>
          </cell>
          <cell r="H93" t="str">
            <v>부산지점</v>
          </cell>
          <cell r="I93" t="str">
            <v>부산 동구 초량 3동 1157-5</v>
          </cell>
          <cell r="J93" t="str">
            <v>부산지점</v>
          </cell>
          <cell r="K93" t="str">
            <v>부산지점</v>
          </cell>
          <cell r="L93" t="str">
            <v>지점장</v>
          </cell>
          <cell r="M93" t="str">
            <v>하준문</v>
          </cell>
          <cell r="N93">
            <v>1197171</v>
          </cell>
        </row>
        <row r="94">
          <cell r="A94">
            <v>94</v>
          </cell>
          <cell r="B94">
            <v>75</v>
          </cell>
          <cell r="C94" t="str">
            <v>최태훈</v>
          </cell>
          <cell r="D94">
            <v>29</v>
          </cell>
          <cell r="E94">
            <v>7501051110128</v>
          </cell>
          <cell r="F94" t="str">
            <v>2002.01.02</v>
          </cell>
          <cell r="G94" t="str">
            <v>도서,우편 및 관련사무원(414)</v>
          </cell>
          <cell r="H94" t="str">
            <v>울산지점</v>
          </cell>
          <cell r="I94" t="str">
            <v>울산 남구 무거동 299-10</v>
          </cell>
          <cell r="J94" t="str">
            <v>울산지점</v>
          </cell>
          <cell r="K94" t="str">
            <v>울산지점</v>
          </cell>
          <cell r="L94" t="str">
            <v>지점장</v>
          </cell>
          <cell r="M94" t="str">
            <v>김상민</v>
          </cell>
          <cell r="N94">
            <v>1164528</v>
          </cell>
        </row>
        <row r="95">
          <cell r="A95">
            <v>95</v>
          </cell>
          <cell r="B95">
            <v>75</v>
          </cell>
          <cell r="C95" t="str">
            <v>김지영</v>
          </cell>
          <cell r="D95">
            <v>29</v>
          </cell>
          <cell r="E95">
            <v>7508062821211</v>
          </cell>
          <cell r="F95" t="str">
            <v>2002.01.02</v>
          </cell>
          <cell r="G95" t="str">
            <v>도서,우편 및 관련사무원(414)</v>
          </cell>
          <cell r="H95" t="str">
            <v>마산지점</v>
          </cell>
          <cell r="I95" t="str">
            <v>경남 마산시 오동동 105-1</v>
          </cell>
          <cell r="J95" t="str">
            <v>마산지점</v>
          </cell>
          <cell r="K95" t="str">
            <v>마산지점</v>
          </cell>
          <cell r="L95" t="str">
            <v>지점장</v>
          </cell>
          <cell r="M95" t="str">
            <v>이순범</v>
          </cell>
          <cell r="N95">
            <v>1197171</v>
          </cell>
        </row>
        <row r="96">
          <cell r="A96">
            <v>96</v>
          </cell>
          <cell r="B96">
            <v>78</v>
          </cell>
          <cell r="C96" t="str">
            <v>김성훈</v>
          </cell>
          <cell r="D96">
            <v>26</v>
          </cell>
          <cell r="E96">
            <v>7801171622417</v>
          </cell>
          <cell r="F96" t="str">
            <v>2002.01.02</v>
          </cell>
          <cell r="G96" t="str">
            <v>비서,타자사무원(411)</v>
          </cell>
          <cell r="H96" t="str">
            <v>광주지점</v>
          </cell>
          <cell r="I96" t="str">
            <v>광주 동구 금남로 2가 20-2</v>
          </cell>
          <cell r="J96" t="str">
            <v>광주지점</v>
          </cell>
          <cell r="K96" t="str">
            <v>광주지점</v>
          </cell>
          <cell r="L96" t="str">
            <v>지점장</v>
          </cell>
          <cell r="M96" t="str">
            <v xml:space="preserve"> 임영동</v>
          </cell>
          <cell r="N96">
            <v>880035</v>
          </cell>
        </row>
        <row r="97">
          <cell r="A97">
            <v>97</v>
          </cell>
          <cell r="B97">
            <v>80</v>
          </cell>
          <cell r="C97" t="str">
            <v>김현정</v>
          </cell>
          <cell r="D97">
            <v>24</v>
          </cell>
          <cell r="E97">
            <v>8012042648117</v>
          </cell>
          <cell r="F97" t="str">
            <v>2002.01.02</v>
          </cell>
          <cell r="G97" t="str">
            <v>비서,타자사무원(411)</v>
          </cell>
          <cell r="H97" t="str">
            <v>목포지점</v>
          </cell>
          <cell r="I97" t="str">
            <v>전남 목포시 용담동 1081-3</v>
          </cell>
          <cell r="J97" t="str">
            <v>목포지점</v>
          </cell>
          <cell r="K97" t="str">
            <v>목포지점</v>
          </cell>
          <cell r="L97" t="str">
            <v>지점장</v>
          </cell>
          <cell r="M97" t="str">
            <v xml:space="preserve"> 양행옥</v>
          </cell>
          <cell r="N97">
            <v>974235</v>
          </cell>
        </row>
        <row r="98">
          <cell r="A98">
            <v>98</v>
          </cell>
          <cell r="B98">
            <v>78</v>
          </cell>
          <cell r="C98" t="str">
            <v>임미라</v>
          </cell>
          <cell r="D98">
            <v>26</v>
          </cell>
          <cell r="E98">
            <v>7804152644815</v>
          </cell>
          <cell r="F98" t="str">
            <v>2002.01.02</v>
          </cell>
          <cell r="G98" t="str">
            <v>비서,타자사무원(411)</v>
          </cell>
          <cell r="H98" t="str">
            <v>순천지점</v>
          </cell>
          <cell r="I98" t="str">
            <v>전남 순천시 장천동 56-10</v>
          </cell>
          <cell r="J98" t="str">
            <v>순천지점</v>
          </cell>
          <cell r="K98" t="str">
            <v>순천지점</v>
          </cell>
          <cell r="L98" t="str">
            <v>지점장</v>
          </cell>
          <cell r="M98" t="str">
            <v>윤광국</v>
          </cell>
          <cell r="N98">
            <v>785837</v>
          </cell>
        </row>
        <row r="99">
          <cell r="A99">
            <v>99</v>
          </cell>
          <cell r="B99">
            <v>79</v>
          </cell>
          <cell r="C99" t="str">
            <v>김선경</v>
          </cell>
          <cell r="D99">
            <v>25</v>
          </cell>
          <cell r="E99">
            <v>7908262482219</v>
          </cell>
          <cell r="F99" t="str">
            <v>2002.01.02</v>
          </cell>
          <cell r="G99" t="str">
            <v>비서,타자사무원(411)</v>
          </cell>
          <cell r="H99" t="str">
            <v>전주지점</v>
          </cell>
          <cell r="I99" t="str">
            <v>전북 전주시 덕진구 금암동 669-2</v>
          </cell>
          <cell r="J99" t="str">
            <v>전주지점</v>
          </cell>
          <cell r="K99" t="str">
            <v>전주지점</v>
          </cell>
          <cell r="L99" t="str">
            <v>지점장</v>
          </cell>
          <cell r="M99" t="str">
            <v xml:space="preserve"> 임장산</v>
          </cell>
          <cell r="N99">
            <v>880035</v>
          </cell>
        </row>
        <row r="100">
          <cell r="A100">
            <v>100</v>
          </cell>
          <cell r="B100">
            <v>78</v>
          </cell>
          <cell r="C100" t="str">
            <v>고옥경</v>
          </cell>
          <cell r="D100">
            <v>26</v>
          </cell>
          <cell r="E100">
            <v>7802162536812</v>
          </cell>
          <cell r="F100" t="str">
            <v>2002.01.02</v>
          </cell>
          <cell r="G100" t="str">
            <v>비서,타자사무원(411)</v>
          </cell>
          <cell r="H100" t="str">
            <v>광주지점</v>
          </cell>
          <cell r="I100" t="str">
            <v>광주 동구 금남로 2가 20-2</v>
          </cell>
          <cell r="J100" t="str">
            <v>광주지점</v>
          </cell>
          <cell r="K100" t="str">
            <v>광주지점</v>
          </cell>
          <cell r="L100" t="str">
            <v>지점장</v>
          </cell>
          <cell r="M100" t="str">
            <v xml:space="preserve"> 임영동</v>
          </cell>
          <cell r="N100">
            <v>880035</v>
          </cell>
        </row>
        <row r="101">
          <cell r="A101">
            <v>101</v>
          </cell>
          <cell r="B101">
            <v>84</v>
          </cell>
          <cell r="C101" t="str">
            <v>김진금</v>
          </cell>
          <cell r="D101">
            <v>20</v>
          </cell>
          <cell r="E101">
            <v>8403052668511</v>
          </cell>
          <cell r="F101" t="str">
            <v>2002.01.02</v>
          </cell>
          <cell r="G101" t="str">
            <v>비서,타자사무원(411)</v>
          </cell>
          <cell r="H101" t="str">
            <v>목포지점</v>
          </cell>
          <cell r="I101" t="str">
            <v>전남 목포시 용담동 1081-3</v>
          </cell>
          <cell r="J101" t="str">
            <v>목포지점</v>
          </cell>
          <cell r="K101" t="str">
            <v>목포지점</v>
          </cell>
          <cell r="L101" t="str">
            <v>지점장</v>
          </cell>
          <cell r="M101" t="str">
            <v xml:space="preserve"> 양행옥</v>
          </cell>
          <cell r="N101">
            <v>880035</v>
          </cell>
        </row>
        <row r="102">
          <cell r="A102">
            <v>102</v>
          </cell>
          <cell r="B102">
            <v>50</v>
          </cell>
          <cell r="C102" t="str">
            <v>이춘상</v>
          </cell>
          <cell r="D102">
            <v>54</v>
          </cell>
          <cell r="E102">
            <v>5008111558415</v>
          </cell>
          <cell r="F102" t="str">
            <v>2002.01.02</v>
          </cell>
          <cell r="G102" t="str">
            <v>도서,우편 및 관련사무원(414)</v>
          </cell>
          <cell r="H102" t="str">
            <v>광주지점</v>
          </cell>
          <cell r="I102" t="str">
            <v>광주 동구 금남로 2가 20-2</v>
          </cell>
          <cell r="J102" t="str">
            <v>광주지점</v>
          </cell>
          <cell r="K102" t="str">
            <v>광주지점</v>
          </cell>
          <cell r="L102" t="str">
            <v>지점장</v>
          </cell>
          <cell r="M102" t="str">
            <v xml:space="preserve"> 임영동</v>
          </cell>
          <cell r="N102">
            <v>1655982</v>
          </cell>
        </row>
        <row r="103">
          <cell r="A103">
            <v>103</v>
          </cell>
          <cell r="B103">
            <v>76</v>
          </cell>
          <cell r="C103" t="str">
            <v>장정호</v>
          </cell>
          <cell r="D103">
            <v>28</v>
          </cell>
          <cell r="E103">
            <v>7607151540514</v>
          </cell>
          <cell r="F103" t="str">
            <v>2002.01.02</v>
          </cell>
          <cell r="G103" t="str">
            <v>도서,우편 및 관련사무원(414)</v>
          </cell>
          <cell r="H103" t="str">
            <v>목포지점</v>
          </cell>
          <cell r="I103" t="str">
            <v>전남 목포시 용담동 1081-3</v>
          </cell>
          <cell r="J103" t="str">
            <v>목포지점</v>
          </cell>
          <cell r="K103" t="str">
            <v>목포지점</v>
          </cell>
          <cell r="L103" t="str">
            <v>지점장</v>
          </cell>
          <cell r="M103" t="str">
            <v xml:space="preserve"> 양행옥</v>
          </cell>
          <cell r="N103">
            <v>1197171</v>
          </cell>
        </row>
        <row r="104">
          <cell r="A104">
            <v>104</v>
          </cell>
          <cell r="B104">
            <v>77</v>
          </cell>
          <cell r="C104" t="str">
            <v>채성욱</v>
          </cell>
          <cell r="D104">
            <v>27</v>
          </cell>
          <cell r="E104">
            <v>7701251652929</v>
          </cell>
          <cell r="F104" t="str">
            <v>2002.01.02</v>
          </cell>
          <cell r="G104" t="str">
            <v>비서,타자사무원(411)</v>
          </cell>
          <cell r="H104" t="str">
            <v>제주지점</v>
          </cell>
          <cell r="I104" t="str">
            <v>제주 제주시 이도2동 390</v>
          </cell>
          <cell r="J104" t="str">
            <v>제주지점</v>
          </cell>
          <cell r="K104" t="str">
            <v>제주지점</v>
          </cell>
          <cell r="L104" t="str">
            <v>지점장</v>
          </cell>
          <cell r="M104" t="str">
            <v>최승훈</v>
          </cell>
          <cell r="N104">
            <v>880035</v>
          </cell>
        </row>
        <row r="105">
          <cell r="A105">
            <v>105</v>
          </cell>
          <cell r="B105">
            <v>76</v>
          </cell>
          <cell r="C105" t="str">
            <v>이상훈</v>
          </cell>
          <cell r="D105">
            <v>28</v>
          </cell>
          <cell r="E105">
            <v>7601051953717</v>
          </cell>
          <cell r="F105" t="str">
            <v>2002.01.02</v>
          </cell>
          <cell r="G105" t="str">
            <v>도서,우편 및 관련사무원(414)</v>
          </cell>
          <cell r="H105" t="str">
            <v>제주지점</v>
          </cell>
          <cell r="I105" t="str">
            <v>제주 제주시 이도2동 390</v>
          </cell>
          <cell r="J105" t="str">
            <v>제주지점</v>
          </cell>
          <cell r="K105" t="str">
            <v>제주지점</v>
          </cell>
          <cell r="L105" t="str">
            <v>지점장</v>
          </cell>
          <cell r="M105" t="str">
            <v>최승훈</v>
          </cell>
          <cell r="N105">
            <v>1164528</v>
          </cell>
        </row>
        <row r="106">
          <cell r="A106">
            <v>106</v>
          </cell>
          <cell r="B106">
            <v>75</v>
          </cell>
          <cell r="C106" t="str">
            <v>이은주</v>
          </cell>
          <cell r="D106">
            <v>29</v>
          </cell>
          <cell r="E106">
            <v>7505232244712</v>
          </cell>
          <cell r="F106" t="str">
            <v>2002.02.01</v>
          </cell>
          <cell r="G106" t="str">
            <v>비서,타자사무원(411)</v>
          </cell>
          <cell r="H106" t="str">
            <v>오산지점</v>
          </cell>
          <cell r="I106" t="str">
            <v>경기도 오산시 오산동882-1</v>
          </cell>
          <cell r="J106" t="str">
            <v>오산지점</v>
          </cell>
          <cell r="K106" t="str">
            <v>오산지점</v>
          </cell>
          <cell r="L106" t="str">
            <v>지점장</v>
          </cell>
          <cell r="M106" t="str">
            <v xml:space="preserve"> 권중행</v>
          </cell>
          <cell r="N106">
            <v>883600</v>
          </cell>
        </row>
        <row r="107">
          <cell r="A107">
            <v>107</v>
          </cell>
          <cell r="B107">
            <v>80</v>
          </cell>
          <cell r="C107" t="str">
            <v>박지연</v>
          </cell>
          <cell r="D107">
            <v>24</v>
          </cell>
          <cell r="E107">
            <v>8006152933725</v>
          </cell>
          <cell r="F107" t="str">
            <v>2002.02.01</v>
          </cell>
          <cell r="G107" t="str">
            <v>비서,타자사무원(411)</v>
          </cell>
          <cell r="H107" t="str">
            <v>제주지점</v>
          </cell>
          <cell r="I107" t="str">
            <v>제주 제주시 이도2동 390</v>
          </cell>
          <cell r="J107" t="str">
            <v>제주지점</v>
          </cell>
          <cell r="K107" t="str">
            <v>제주지점</v>
          </cell>
          <cell r="L107" t="str">
            <v>지점장</v>
          </cell>
          <cell r="M107" t="str">
            <v>최승훈</v>
          </cell>
          <cell r="N107">
            <v>878506</v>
          </cell>
        </row>
        <row r="108">
          <cell r="A108">
            <v>108</v>
          </cell>
          <cell r="B108">
            <v>77</v>
          </cell>
          <cell r="C108" t="str">
            <v>김형</v>
          </cell>
          <cell r="D108">
            <v>27</v>
          </cell>
          <cell r="E108">
            <v>7702141053010</v>
          </cell>
          <cell r="F108" t="str">
            <v>2002.02.02</v>
          </cell>
          <cell r="G108" t="str">
            <v>비서,타자사무원(411)</v>
          </cell>
          <cell r="H108" t="str">
            <v>정보사업팀</v>
          </cell>
          <cell r="I108" t="str">
            <v>서울 강남구 삼성동 171-2</v>
          </cell>
          <cell r="J108" t="str">
            <v>정보사업팀</v>
          </cell>
          <cell r="K108" t="str">
            <v>정보사업팀</v>
          </cell>
          <cell r="L108" t="str">
            <v>단장</v>
          </cell>
          <cell r="M108" t="str">
            <v>길대식</v>
          </cell>
          <cell r="N108">
            <v>1006079</v>
          </cell>
        </row>
        <row r="109">
          <cell r="A109">
            <v>109</v>
          </cell>
          <cell r="B109">
            <v>75</v>
          </cell>
          <cell r="C109" t="str">
            <v>이선윤</v>
          </cell>
          <cell r="D109">
            <v>29</v>
          </cell>
          <cell r="E109">
            <v>7511022036119</v>
          </cell>
          <cell r="F109" t="str">
            <v>2002.02.15</v>
          </cell>
          <cell r="G109" t="str">
            <v>비서,타자사무원(411)</v>
          </cell>
          <cell r="H109" t="str">
            <v>정보사업팀</v>
          </cell>
          <cell r="I109" t="str">
            <v>서울 강남구 삼성동 171-2</v>
          </cell>
          <cell r="J109" t="str">
            <v>정보사업팀</v>
          </cell>
          <cell r="K109" t="str">
            <v>정보사업팀</v>
          </cell>
          <cell r="L109" t="str">
            <v>단장</v>
          </cell>
          <cell r="M109" t="str">
            <v>길대식</v>
          </cell>
          <cell r="N109">
            <v>883605</v>
          </cell>
        </row>
        <row r="110">
          <cell r="A110">
            <v>110</v>
          </cell>
          <cell r="B110">
            <v>81</v>
          </cell>
          <cell r="C110" t="str">
            <v>김정현</v>
          </cell>
          <cell r="D110">
            <v>23</v>
          </cell>
          <cell r="E110">
            <v>8109012177935</v>
          </cell>
          <cell r="F110" t="str">
            <v>2002.02.15</v>
          </cell>
          <cell r="G110" t="str">
            <v>비서,타자사무원(411)</v>
          </cell>
          <cell r="H110" t="str">
            <v>정보사업팀</v>
          </cell>
          <cell r="I110" t="str">
            <v>서울 강남구 삼성동 171-2</v>
          </cell>
          <cell r="J110" t="str">
            <v>정보사업팀</v>
          </cell>
          <cell r="K110" t="str">
            <v>정보사업팀</v>
          </cell>
          <cell r="L110" t="str">
            <v>단장</v>
          </cell>
          <cell r="M110" t="str">
            <v>길대식</v>
          </cell>
          <cell r="N110">
            <v>883605</v>
          </cell>
        </row>
        <row r="111">
          <cell r="A111">
            <v>111</v>
          </cell>
          <cell r="B111">
            <v>79</v>
          </cell>
          <cell r="C111" t="str">
            <v>박상휘</v>
          </cell>
          <cell r="D111">
            <v>25</v>
          </cell>
          <cell r="E111">
            <v>7905012574117</v>
          </cell>
          <cell r="F111" t="str">
            <v>2002.02.16</v>
          </cell>
          <cell r="G111" t="str">
            <v>비서,타자사무원(411)</v>
          </cell>
          <cell r="H111" t="str">
            <v>정보사업팀</v>
          </cell>
          <cell r="I111" t="str">
            <v>서울 강남구 삼성동 171-2</v>
          </cell>
          <cell r="J111" t="str">
            <v>정보사업팀</v>
          </cell>
          <cell r="K111" t="str">
            <v>정보사업팀</v>
          </cell>
          <cell r="L111" t="str">
            <v>단장</v>
          </cell>
          <cell r="M111" t="str">
            <v>길대식</v>
          </cell>
          <cell r="N111">
            <v>883605</v>
          </cell>
        </row>
        <row r="112">
          <cell r="A112">
            <v>112</v>
          </cell>
          <cell r="B112">
            <v>77</v>
          </cell>
          <cell r="C112" t="str">
            <v>김은진</v>
          </cell>
          <cell r="D112">
            <v>27</v>
          </cell>
          <cell r="E112">
            <v>7709302332823</v>
          </cell>
          <cell r="F112" t="str">
            <v>2002.02.25</v>
          </cell>
          <cell r="G112" t="str">
            <v>비서,타자사무원(411)</v>
          </cell>
          <cell r="H112" t="str">
            <v>정보사업팀</v>
          </cell>
          <cell r="I112" t="str">
            <v>서울 강남구 삼성동 171-2</v>
          </cell>
          <cell r="J112" t="str">
            <v>정보사업팀</v>
          </cell>
          <cell r="K112" t="str">
            <v>정보사업팀</v>
          </cell>
          <cell r="L112" t="str">
            <v>단장</v>
          </cell>
          <cell r="M112" t="str">
            <v>길대식</v>
          </cell>
          <cell r="N112">
            <v>883605</v>
          </cell>
        </row>
        <row r="113">
          <cell r="A113">
            <v>113</v>
          </cell>
          <cell r="B113">
            <v>78</v>
          </cell>
          <cell r="C113" t="str">
            <v>이승연</v>
          </cell>
          <cell r="D113">
            <v>26</v>
          </cell>
          <cell r="E113">
            <v>7805102536614</v>
          </cell>
          <cell r="F113" t="str">
            <v>2002.02.26</v>
          </cell>
          <cell r="G113" t="str">
            <v>비서,타자사무원(411)</v>
          </cell>
          <cell r="H113" t="str">
            <v>수원지점</v>
          </cell>
          <cell r="I113" t="str">
            <v>경기도 수원시 팔달구 우만동436</v>
          </cell>
          <cell r="J113" t="str">
            <v>수원지점</v>
          </cell>
          <cell r="K113" t="str">
            <v>수원지점</v>
          </cell>
          <cell r="L113" t="str">
            <v>지점장</v>
          </cell>
          <cell r="M113" t="str">
            <v xml:space="preserve"> 원선재</v>
          </cell>
          <cell r="N113">
            <v>883605</v>
          </cell>
        </row>
        <row r="114">
          <cell r="A114">
            <v>114</v>
          </cell>
          <cell r="B114">
            <v>79</v>
          </cell>
          <cell r="C114" t="str">
            <v>전선화</v>
          </cell>
          <cell r="D114">
            <v>25</v>
          </cell>
          <cell r="E114">
            <v>7907222221518</v>
          </cell>
          <cell r="F114" t="str">
            <v>2002.02.27</v>
          </cell>
          <cell r="G114" t="str">
            <v>비서,타자사무원(411)</v>
          </cell>
          <cell r="H114" t="str">
            <v>정보사업팀</v>
          </cell>
          <cell r="I114" t="str">
            <v>서울 강남구 삼성동 171-2</v>
          </cell>
          <cell r="J114" t="str">
            <v>정보사업팀</v>
          </cell>
          <cell r="K114" t="str">
            <v>정보사업팀</v>
          </cell>
          <cell r="L114" t="str">
            <v>단장</v>
          </cell>
          <cell r="M114" t="str">
            <v>길대식</v>
          </cell>
          <cell r="N114">
            <v>883605</v>
          </cell>
        </row>
        <row r="115">
          <cell r="A115">
            <v>115</v>
          </cell>
          <cell r="B115">
            <v>77</v>
          </cell>
          <cell r="C115" t="str">
            <v>김영섭</v>
          </cell>
          <cell r="D115">
            <v>27</v>
          </cell>
          <cell r="E115">
            <v>7709291030910</v>
          </cell>
          <cell r="F115" t="str">
            <v>2002.02.27</v>
          </cell>
          <cell r="G115" t="str">
            <v>비서,타자사무원(411)</v>
          </cell>
          <cell r="H115" t="str">
            <v>정보사업팀</v>
          </cell>
          <cell r="I115" t="str">
            <v>서울 강남구 삼성동 171-2</v>
          </cell>
          <cell r="J115" t="str">
            <v>정보사업팀</v>
          </cell>
          <cell r="K115" t="str">
            <v>정보사업팀</v>
          </cell>
          <cell r="L115" t="str">
            <v>단장</v>
          </cell>
          <cell r="M115" t="str">
            <v>길대식</v>
          </cell>
          <cell r="N115">
            <v>883605</v>
          </cell>
        </row>
        <row r="116">
          <cell r="A116">
            <v>116</v>
          </cell>
          <cell r="B116">
            <v>76</v>
          </cell>
          <cell r="C116" t="str">
            <v>김취옥</v>
          </cell>
          <cell r="D116">
            <v>28</v>
          </cell>
          <cell r="E116">
            <v>7606112690819</v>
          </cell>
          <cell r="F116" t="str">
            <v>2002.02.27</v>
          </cell>
          <cell r="G116" t="str">
            <v>비서,타자사무원(411)</v>
          </cell>
          <cell r="H116" t="str">
            <v>정보사업팀</v>
          </cell>
          <cell r="I116" t="str">
            <v>서울 강남구 삼성동 171-2</v>
          </cell>
          <cell r="J116" t="str">
            <v>정보사업팀</v>
          </cell>
          <cell r="K116" t="str">
            <v>정보사업팀</v>
          </cell>
          <cell r="L116" t="str">
            <v>단장</v>
          </cell>
          <cell r="M116" t="str">
            <v>길대식</v>
          </cell>
          <cell r="N116">
            <v>883605</v>
          </cell>
        </row>
        <row r="117">
          <cell r="A117">
            <v>117</v>
          </cell>
          <cell r="B117">
            <v>81</v>
          </cell>
          <cell r="C117" t="str">
            <v>오민화</v>
          </cell>
          <cell r="D117">
            <v>23</v>
          </cell>
          <cell r="E117">
            <v>8106202018946</v>
          </cell>
          <cell r="F117" t="str">
            <v>2002.02.28</v>
          </cell>
          <cell r="G117" t="str">
            <v>비서,타자사무원(411)</v>
          </cell>
          <cell r="H117" t="str">
            <v>정보사업팀</v>
          </cell>
          <cell r="I117" t="str">
            <v>서울 강남구 삼성동 171-2</v>
          </cell>
          <cell r="J117" t="str">
            <v>정보사업팀</v>
          </cell>
          <cell r="K117" t="str">
            <v>정보사업팀</v>
          </cell>
          <cell r="L117" t="str">
            <v>단장</v>
          </cell>
          <cell r="M117" t="str">
            <v>길대식</v>
          </cell>
          <cell r="N117">
            <v>883605</v>
          </cell>
        </row>
        <row r="118">
          <cell r="A118">
            <v>118</v>
          </cell>
          <cell r="B118">
            <v>74</v>
          </cell>
          <cell r="C118" t="str">
            <v>박순정</v>
          </cell>
          <cell r="D118">
            <v>30</v>
          </cell>
          <cell r="E118">
            <v>7404232474216</v>
          </cell>
          <cell r="F118" t="str">
            <v>2002.03.01</v>
          </cell>
          <cell r="G118" t="str">
            <v>비서,타자사무원(411)</v>
          </cell>
          <cell r="H118" t="str">
            <v>지식경영센터</v>
          </cell>
          <cell r="I118" t="e">
            <v>#N/A</v>
          </cell>
          <cell r="J118" t="str">
            <v>지식경영센터</v>
          </cell>
          <cell r="K118" t="str">
            <v>지식경영센터</v>
          </cell>
          <cell r="L118" t="e">
            <v>#N/A</v>
          </cell>
          <cell r="M118" t="e">
            <v>#N/A</v>
          </cell>
          <cell r="N118">
            <v>883605</v>
          </cell>
        </row>
        <row r="119">
          <cell r="A119">
            <v>119</v>
          </cell>
          <cell r="B119">
            <v>80</v>
          </cell>
          <cell r="C119" t="str">
            <v>강혜림</v>
          </cell>
          <cell r="D119">
            <v>24</v>
          </cell>
          <cell r="E119">
            <v>8009062149637</v>
          </cell>
          <cell r="F119" t="str">
            <v>2002.03.02</v>
          </cell>
          <cell r="G119" t="str">
            <v>비서,타자사무원(411)</v>
          </cell>
          <cell r="H119" t="str">
            <v>정보사업팀</v>
          </cell>
          <cell r="I119" t="str">
            <v>서울 강남구 삼성동 171-2</v>
          </cell>
          <cell r="J119" t="str">
            <v>정보사업팀</v>
          </cell>
          <cell r="K119" t="str">
            <v>정보사업팀</v>
          </cell>
          <cell r="L119" t="str">
            <v>단장</v>
          </cell>
          <cell r="M119" t="str">
            <v>길대식</v>
          </cell>
          <cell r="N119">
            <v>883605</v>
          </cell>
        </row>
        <row r="120">
          <cell r="A120">
            <v>120</v>
          </cell>
          <cell r="B120">
            <v>81</v>
          </cell>
          <cell r="C120" t="str">
            <v>이원희</v>
          </cell>
          <cell r="D120">
            <v>23</v>
          </cell>
          <cell r="E120">
            <v>8102151046118</v>
          </cell>
          <cell r="F120" t="str">
            <v>2002.03.04</v>
          </cell>
          <cell r="G120" t="str">
            <v>비서,타자사무원(411)</v>
          </cell>
          <cell r="H120" t="str">
            <v>정보사업팀</v>
          </cell>
          <cell r="I120" t="str">
            <v>서울 강남구 삼성동 171-2</v>
          </cell>
          <cell r="J120" t="str">
            <v>정보사업팀</v>
          </cell>
          <cell r="K120" t="str">
            <v>정보사업팀</v>
          </cell>
          <cell r="L120" t="str">
            <v>단장</v>
          </cell>
          <cell r="M120" t="str">
            <v>길대식</v>
          </cell>
          <cell r="N120">
            <v>883605</v>
          </cell>
        </row>
        <row r="121">
          <cell r="A121">
            <v>121</v>
          </cell>
          <cell r="B121">
            <v>79</v>
          </cell>
          <cell r="C121" t="str">
            <v>고은아</v>
          </cell>
          <cell r="D121">
            <v>25</v>
          </cell>
          <cell r="E121">
            <v>7905042566510</v>
          </cell>
          <cell r="F121" t="str">
            <v>2002.03.04</v>
          </cell>
          <cell r="G121" t="str">
            <v>비서,타자사무원(411)</v>
          </cell>
          <cell r="H121" t="str">
            <v>목포지점</v>
          </cell>
          <cell r="I121" t="str">
            <v>전남 목포시 용담동 1081-3</v>
          </cell>
          <cell r="J121" t="str">
            <v>목포지점</v>
          </cell>
          <cell r="K121" t="str">
            <v>목포지점</v>
          </cell>
          <cell r="L121" t="str">
            <v>지점장</v>
          </cell>
          <cell r="M121" t="str">
            <v xml:space="preserve"> 양행옥</v>
          </cell>
          <cell r="N121">
            <v>883605</v>
          </cell>
        </row>
        <row r="122">
          <cell r="A122">
            <v>122</v>
          </cell>
          <cell r="B122">
            <v>80</v>
          </cell>
          <cell r="C122" t="str">
            <v>장현아</v>
          </cell>
          <cell r="D122">
            <v>24</v>
          </cell>
          <cell r="E122">
            <v>8005052559114</v>
          </cell>
          <cell r="F122" t="str">
            <v>2002.03.04</v>
          </cell>
          <cell r="G122" t="str">
            <v>비서,타자사무원(411)</v>
          </cell>
          <cell r="H122" t="str">
            <v>동래지점</v>
          </cell>
          <cell r="I122" t="str">
            <v>부산 연제구 거제1동 150-6</v>
          </cell>
          <cell r="J122" t="str">
            <v>동래지점</v>
          </cell>
          <cell r="K122" t="str">
            <v>동래지점</v>
          </cell>
          <cell r="L122" t="str">
            <v>지점장</v>
          </cell>
          <cell r="M122" t="str">
            <v>박정호</v>
          </cell>
          <cell r="N122">
            <v>883605</v>
          </cell>
        </row>
        <row r="123">
          <cell r="A123">
            <v>123</v>
          </cell>
          <cell r="B123">
            <v>82</v>
          </cell>
          <cell r="C123" t="str">
            <v>강은교</v>
          </cell>
          <cell r="D123">
            <v>22</v>
          </cell>
          <cell r="E123">
            <v>8206042174017</v>
          </cell>
          <cell r="F123" t="str">
            <v>2002.03.06</v>
          </cell>
          <cell r="G123" t="str">
            <v>비서,타자사무원(411)</v>
          </cell>
          <cell r="H123" t="str">
            <v>인천지점</v>
          </cell>
          <cell r="I123" t="str">
            <v>인천 남구 주안6동72-2</v>
          </cell>
          <cell r="J123" t="str">
            <v>인천지점</v>
          </cell>
          <cell r="K123" t="str">
            <v>인천지점</v>
          </cell>
          <cell r="L123" t="str">
            <v>지점장</v>
          </cell>
          <cell r="M123" t="str">
            <v>안병철</v>
          </cell>
          <cell r="N123">
            <v>853455</v>
          </cell>
        </row>
        <row r="124">
          <cell r="A124">
            <v>124</v>
          </cell>
          <cell r="B124">
            <v>83</v>
          </cell>
          <cell r="C124" t="str">
            <v>도경희</v>
          </cell>
          <cell r="D124">
            <v>21</v>
          </cell>
          <cell r="E124">
            <v>8302272113518</v>
          </cell>
          <cell r="F124" t="str">
            <v>2002.03.08</v>
          </cell>
          <cell r="G124" t="str">
            <v>비서,타자사무원(411)</v>
          </cell>
          <cell r="H124" t="str">
            <v>순천지점</v>
          </cell>
          <cell r="I124" t="str">
            <v>전남 순천시 장천동 56-10</v>
          </cell>
          <cell r="J124" t="str">
            <v>순천지점</v>
          </cell>
          <cell r="K124" t="str">
            <v>순천지점</v>
          </cell>
          <cell r="L124" t="str">
            <v>지점장</v>
          </cell>
          <cell r="M124" t="str">
            <v>윤광국</v>
          </cell>
          <cell r="N124">
            <v>827224</v>
          </cell>
        </row>
        <row r="125">
          <cell r="A125">
            <v>125</v>
          </cell>
          <cell r="B125">
            <v>81</v>
          </cell>
          <cell r="C125" t="str">
            <v>이소영</v>
          </cell>
          <cell r="D125">
            <v>23</v>
          </cell>
          <cell r="E125">
            <v>8111222155716</v>
          </cell>
          <cell r="F125" t="str">
            <v>2002.03.11</v>
          </cell>
          <cell r="G125" t="str">
            <v>비서,타자사무원(411)</v>
          </cell>
          <cell r="H125" t="str">
            <v>부천지점</v>
          </cell>
          <cell r="I125" t="str">
            <v>경기도 부천시 원미구 심곡동89-1</v>
          </cell>
          <cell r="J125" t="str">
            <v>부천지점</v>
          </cell>
          <cell r="K125" t="str">
            <v>부천지점</v>
          </cell>
          <cell r="L125" t="str">
            <v>지점장</v>
          </cell>
          <cell r="M125" t="str">
            <v>이재현</v>
          </cell>
          <cell r="N125">
            <v>943077</v>
          </cell>
        </row>
        <row r="126">
          <cell r="A126">
            <v>126</v>
          </cell>
          <cell r="B126">
            <v>79</v>
          </cell>
          <cell r="C126" t="str">
            <v>최수현</v>
          </cell>
          <cell r="D126">
            <v>25</v>
          </cell>
          <cell r="E126">
            <v>7908172069931</v>
          </cell>
          <cell r="F126" t="str">
            <v>2002.03.12</v>
          </cell>
          <cell r="G126" t="str">
            <v>비서,타자사무원(411)</v>
          </cell>
          <cell r="H126" t="str">
            <v>정보사업팀</v>
          </cell>
          <cell r="I126" t="str">
            <v>서울 강남구 삼성동 171-2</v>
          </cell>
          <cell r="J126" t="str">
            <v>정보사업팀</v>
          </cell>
          <cell r="K126" t="str">
            <v>정보사업팀</v>
          </cell>
          <cell r="L126" t="str">
            <v>단장</v>
          </cell>
          <cell r="M126" t="str">
            <v>길대식</v>
          </cell>
          <cell r="N126">
            <v>827224</v>
          </cell>
        </row>
        <row r="127">
          <cell r="A127">
            <v>127</v>
          </cell>
          <cell r="B127">
            <v>81</v>
          </cell>
          <cell r="C127" t="str">
            <v>박경구</v>
          </cell>
          <cell r="D127">
            <v>23</v>
          </cell>
          <cell r="E127">
            <v>8101031231312</v>
          </cell>
          <cell r="F127" t="str">
            <v>2002.03.14</v>
          </cell>
          <cell r="G127" t="str">
            <v>비서,타자사무원(411)</v>
          </cell>
          <cell r="H127" t="str">
            <v>안산지점</v>
          </cell>
          <cell r="I127" t="str">
            <v>경기도 안산시 고잔동525-3</v>
          </cell>
          <cell r="J127" t="str">
            <v>안산지점</v>
          </cell>
          <cell r="K127" t="str">
            <v>안산지점</v>
          </cell>
          <cell r="L127" t="str">
            <v>지점장</v>
          </cell>
          <cell r="M127" t="str">
            <v>김경훈</v>
          </cell>
          <cell r="N127">
            <v>883605</v>
          </cell>
        </row>
        <row r="128">
          <cell r="A128">
            <v>128</v>
          </cell>
          <cell r="B128">
            <v>79</v>
          </cell>
          <cell r="C128" t="str">
            <v>신평심</v>
          </cell>
          <cell r="D128">
            <v>25</v>
          </cell>
          <cell r="E128">
            <v>7904272644312</v>
          </cell>
          <cell r="F128" t="str">
            <v>2002.03.13</v>
          </cell>
          <cell r="G128" t="str">
            <v>비서,타자사무원(411)</v>
          </cell>
          <cell r="H128" t="str">
            <v>정보사업팀</v>
          </cell>
          <cell r="I128" t="str">
            <v>서울 강남구 삼성동 171-2</v>
          </cell>
          <cell r="J128" t="str">
            <v>정보사업팀</v>
          </cell>
          <cell r="K128" t="str">
            <v>정보사업팀</v>
          </cell>
          <cell r="L128" t="str">
            <v>단장</v>
          </cell>
          <cell r="M128" t="str">
            <v>길대식</v>
          </cell>
          <cell r="N128">
            <v>883605</v>
          </cell>
        </row>
        <row r="129">
          <cell r="A129">
            <v>129</v>
          </cell>
          <cell r="B129">
            <v>81</v>
          </cell>
          <cell r="C129" t="str">
            <v>이명희</v>
          </cell>
          <cell r="D129">
            <v>23</v>
          </cell>
          <cell r="E129">
            <v>8111022168717</v>
          </cell>
          <cell r="F129" t="str">
            <v>2002.03.19</v>
          </cell>
          <cell r="G129" t="str">
            <v>비서,타자사무원(411)</v>
          </cell>
          <cell r="H129" t="str">
            <v>정보사업팀</v>
          </cell>
          <cell r="I129" t="str">
            <v>서울 강남구 삼성동 171-2</v>
          </cell>
          <cell r="J129" t="str">
            <v>정보사업팀</v>
          </cell>
          <cell r="K129" t="str">
            <v>정보사업팀</v>
          </cell>
          <cell r="L129" t="str">
            <v>단장</v>
          </cell>
          <cell r="M129" t="str">
            <v>길대식</v>
          </cell>
          <cell r="N129">
            <v>883605</v>
          </cell>
        </row>
        <row r="130">
          <cell r="A130">
            <v>130</v>
          </cell>
          <cell r="B130">
            <v>78</v>
          </cell>
          <cell r="C130" t="str">
            <v>곽희정</v>
          </cell>
          <cell r="D130">
            <v>26</v>
          </cell>
          <cell r="E130">
            <v>7801192042412</v>
          </cell>
          <cell r="F130" t="str">
            <v>2002.03.19</v>
          </cell>
          <cell r="G130" t="str">
            <v>비서,타자사무원(411)</v>
          </cell>
          <cell r="H130" t="str">
            <v>정보사업팀</v>
          </cell>
          <cell r="I130" t="str">
            <v>서울 강남구 삼성동 171-2</v>
          </cell>
          <cell r="J130" t="str">
            <v>정보사업팀</v>
          </cell>
          <cell r="K130" t="str">
            <v>정보사업팀</v>
          </cell>
          <cell r="L130" t="str">
            <v>단장</v>
          </cell>
          <cell r="M130" t="str">
            <v>길대식</v>
          </cell>
          <cell r="N130">
            <v>883605</v>
          </cell>
        </row>
        <row r="131">
          <cell r="A131">
            <v>131</v>
          </cell>
          <cell r="B131">
            <v>80</v>
          </cell>
          <cell r="C131" t="str">
            <v>장윤정</v>
          </cell>
          <cell r="D131">
            <v>24</v>
          </cell>
          <cell r="E131">
            <v>8003172009211</v>
          </cell>
          <cell r="F131" t="str">
            <v>2002.03.19</v>
          </cell>
          <cell r="G131" t="str">
            <v>비서,타자사무원(411)</v>
          </cell>
          <cell r="H131" t="str">
            <v>정보사업팀</v>
          </cell>
          <cell r="I131" t="str">
            <v>서울 강남구 삼성동 171-2</v>
          </cell>
          <cell r="J131" t="str">
            <v>정보사업팀</v>
          </cell>
          <cell r="K131" t="str">
            <v>정보사업팀</v>
          </cell>
          <cell r="L131" t="str">
            <v>단장</v>
          </cell>
          <cell r="M131" t="str">
            <v>길대식</v>
          </cell>
          <cell r="N131">
            <v>883605</v>
          </cell>
        </row>
        <row r="132">
          <cell r="A132">
            <v>132</v>
          </cell>
          <cell r="B132">
            <v>72</v>
          </cell>
          <cell r="C132" t="str">
            <v>박인영</v>
          </cell>
          <cell r="D132">
            <v>32</v>
          </cell>
          <cell r="E132">
            <v>7208132046617</v>
          </cell>
          <cell r="F132" t="str">
            <v>2002.03.22</v>
          </cell>
          <cell r="G132" t="str">
            <v>비서,타자사무원(411)</v>
          </cell>
          <cell r="H132" t="str">
            <v>정보사업팀</v>
          </cell>
          <cell r="I132" t="str">
            <v>서울 강남구 삼성동 171-2</v>
          </cell>
          <cell r="J132" t="str">
            <v>정보사업팀</v>
          </cell>
          <cell r="K132" t="str">
            <v>정보사업팀</v>
          </cell>
          <cell r="L132" t="str">
            <v>단장</v>
          </cell>
          <cell r="M132" t="str">
            <v>길대식</v>
          </cell>
          <cell r="N132">
            <v>886305</v>
          </cell>
        </row>
        <row r="133">
          <cell r="A133">
            <v>133</v>
          </cell>
          <cell r="B133">
            <v>77</v>
          </cell>
          <cell r="C133" t="str">
            <v>장영빈</v>
          </cell>
          <cell r="D133">
            <v>27</v>
          </cell>
          <cell r="E133">
            <v>7701071850536</v>
          </cell>
          <cell r="F133" t="str">
            <v>2002.04.01</v>
          </cell>
          <cell r="G133" t="str">
            <v>도서,우편 및 관련사무원(414)</v>
          </cell>
          <cell r="H133" t="str">
            <v>울산지점</v>
          </cell>
          <cell r="I133" t="str">
            <v>울산 남구 무거동 299-10</v>
          </cell>
          <cell r="J133" t="str">
            <v>울산지점</v>
          </cell>
          <cell r="K133" t="str">
            <v>울산지점</v>
          </cell>
          <cell r="L133" t="str">
            <v>지점장</v>
          </cell>
          <cell r="M133" t="str">
            <v>김상민</v>
          </cell>
          <cell r="N133">
            <v>1161702</v>
          </cell>
        </row>
        <row r="134">
          <cell r="A134">
            <v>134</v>
          </cell>
          <cell r="B134">
            <v>78</v>
          </cell>
          <cell r="C134" t="str">
            <v>최성애</v>
          </cell>
          <cell r="D134">
            <v>26</v>
          </cell>
          <cell r="E134">
            <v>7809112580511</v>
          </cell>
          <cell r="F134" t="str">
            <v>2002.04.01</v>
          </cell>
          <cell r="G134" t="str">
            <v>비서,타자사무원(411)</v>
          </cell>
          <cell r="H134" t="str">
            <v>순천지점</v>
          </cell>
          <cell r="I134" t="str">
            <v>전남 순천시 장천동 56-10</v>
          </cell>
          <cell r="J134" t="str">
            <v>순천지점</v>
          </cell>
          <cell r="K134" t="str">
            <v>순천지점</v>
          </cell>
          <cell r="L134" t="str">
            <v>지점장</v>
          </cell>
          <cell r="M134" t="str">
            <v>윤광국</v>
          </cell>
          <cell r="N134">
            <v>827224</v>
          </cell>
        </row>
        <row r="135">
          <cell r="A135">
            <v>135</v>
          </cell>
          <cell r="B135">
            <v>74</v>
          </cell>
          <cell r="C135" t="str">
            <v>신동근</v>
          </cell>
          <cell r="D135">
            <v>30</v>
          </cell>
          <cell r="E135">
            <v>7409161168319</v>
          </cell>
          <cell r="F135" t="str">
            <v>2002.04.08</v>
          </cell>
          <cell r="G135" t="str">
            <v>비서,타자사무원(411)</v>
          </cell>
          <cell r="H135" t="str">
            <v>재건축사업팀</v>
          </cell>
          <cell r="I135" t="str">
            <v>서울 강남구 삼성동 171-2</v>
          </cell>
          <cell r="J135" t="str">
            <v>재건축사업팀</v>
          </cell>
          <cell r="K135" t="str">
            <v>재건축사업팀</v>
          </cell>
          <cell r="L135" t="str">
            <v>단장</v>
          </cell>
          <cell r="M135" t="str">
            <v>곽기석</v>
          </cell>
          <cell r="N135">
            <v>1526853</v>
          </cell>
        </row>
        <row r="136">
          <cell r="A136">
            <v>136</v>
          </cell>
          <cell r="B136">
            <v>75</v>
          </cell>
          <cell r="C136" t="str">
            <v>이덕호</v>
          </cell>
          <cell r="D136">
            <v>29</v>
          </cell>
          <cell r="E136">
            <v>7510171025220</v>
          </cell>
          <cell r="F136" t="str">
            <v>2002.04.08</v>
          </cell>
          <cell r="G136" t="str">
            <v>비서,타자사무원(411)</v>
          </cell>
          <cell r="H136" t="str">
            <v>재건축사업팀</v>
          </cell>
          <cell r="I136" t="str">
            <v>서울 강남구 삼성동 171-2</v>
          </cell>
          <cell r="J136" t="str">
            <v>재건축사업팀</v>
          </cell>
          <cell r="K136" t="str">
            <v>재건축사업팀</v>
          </cell>
          <cell r="L136" t="str">
            <v>단장</v>
          </cell>
          <cell r="M136" t="str">
            <v>곽기석</v>
          </cell>
          <cell r="N136">
            <v>1526853</v>
          </cell>
        </row>
        <row r="137">
          <cell r="A137">
            <v>137</v>
          </cell>
          <cell r="B137">
            <v>71</v>
          </cell>
          <cell r="C137" t="str">
            <v>정훈</v>
          </cell>
          <cell r="D137">
            <v>33</v>
          </cell>
          <cell r="E137">
            <v>7102151057825</v>
          </cell>
          <cell r="F137" t="str">
            <v>2002.04.08</v>
          </cell>
          <cell r="G137" t="str">
            <v>비서,타자사무원(411)</v>
          </cell>
          <cell r="H137" t="str">
            <v>재건축사업팀</v>
          </cell>
          <cell r="I137" t="str">
            <v>서울 강남구 삼성동 171-2</v>
          </cell>
          <cell r="J137" t="str">
            <v>재건축사업팀</v>
          </cell>
          <cell r="K137" t="str">
            <v>재건축사업팀</v>
          </cell>
          <cell r="L137" t="str">
            <v>단장</v>
          </cell>
          <cell r="M137" t="str">
            <v>곽기석</v>
          </cell>
          <cell r="N137">
            <v>1526853</v>
          </cell>
        </row>
        <row r="138">
          <cell r="A138">
            <v>138</v>
          </cell>
          <cell r="B138">
            <v>80</v>
          </cell>
          <cell r="C138" t="str">
            <v>박지민</v>
          </cell>
          <cell r="D138">
            <v>24</v>
          </cell>
          <cell r="E138">
            <v>8010212822011</v>
          </cell>
          <cell r="F138" t="str">
            <v>2002.04.17</v>
          </cell>
          <cell r="G138" t="str">
            <v>비서,타자사무원(411)</v>
          </cell>
          <cell r="H138" t="str">
            <v>마산지점</v>
          </cell>
          <cell r="I138" t="str">
            <v>경남 마산시 오동동 105-1</v>
          </cell>
          <cell r="J138" t="str">
            <v>마산지점</v>
          </cell>
          <cell r="K138" t="str">
            <v>마산지점</v>
          </cell>
          <cell r="L138" t="str">
            <v>지점장</v>
          </cell>
          <cell r="M138" t="str">
            <v>이순범</v>
          </cell>
          <cell r="N138">
            <v>827224</v>
          </cell>
        </row>
        <row r="139">
          <cell r="A139">
            <v>139</v>
          </cell>
          <cell r="B139">
            <v>78</v>
          </cell>
          <cell r="C139" t="str">
            <v>김상은</v>
          </cell>
          <cell r="D139">
            <v>26</v>
          </cell>
          <cell r="E139">
            <v>7803231025911</v>
          </cell>
          <cell r="F139" t="str">
            <v>2002.04.20</v>
          </cell>
          <cell r="G139" t="str">
            <v>비서,타자사무원(411)</v>
          </cell>
          <cell r="H139" t="str">
            <v>정보사업팀</v>
          </cell>
          <cell r="I139" t="str">
            <v>서울 강남구 삼성동 171-2</v>
          </cell>
          <cell r="J139" t="str">
            <v>정보사업팀</v>
          </cell>
          <cell r="K139" t="str">
            <v>정보사업팀</v>
          </cell>
          <cell r="L139" t="str">
            <v>단장</v>
          </cell>
          <cell r="M139" t="str">
            <v>길대식</v>
          </cell>
          <cell r="N139">
            <v>883605</v>
          </cell>
        </row>
        <row r="140">
          <cell r="A140">
            <v>140</v>
          </cell>
          <cell r="B140">
            <v>79</v>
          </cell>
          <cell r="C140" t="str">
            <v>이호영</v>
          </cell>
          <cell r="D140">
            <v>25</v>
          </cell>
          <cell r="E140">
            <v>7906271069216</v>
          </cell>
          <cell r="F140" t="str">
            <v>2002.04.24</v>
          </cell>
          <cell r="G140" t="str">
            <v>비서,타자사무원(411)</v>
          </cell>
          <cell r="H140" t="str">
            <v>인천지점</v>
          </cell>
          <cell r="I140" t="str">
            <v>인천 남구 주안6동72-2</v>
          </cell>
          <cell r="J140" t="str">
            <v>인천지점</v>
          </cell>
          <cell r="K140" t="str">
            <v>인천지점</v>
          </cell>
          <cell r="L140" t="str">
            <v>지점장</v>
          </cell>
          <cell r="M140" t="str">
            <v>안병철</v>
          </cell>
          <cell r="N140">
            <v>943077</v>
          </cell>
        </row>
        <row r="141">
          <cell r="A141">
            <v>141</v>
          </cell>
          <cell r="B141">
            <v>65</v>
          </cell>
          <cell r="C141" t="str">
            <v>정중철</v>
          </cell>
          <cell r="D141">
            <v>39</v>
          </cell>
          <cell r="E141">
            <v>6506291042544</v>
          </cell>
          <cell r="F141" t="str">
            <v>2002.04.24</v>
          </cell>
          <cell r="G141" t="str">
            <v>비서,타자사무원(411)</v>
          </cell>
          <cell r="H141" t="str">
            <v>정보사업팀</v>
          </cell>
          <cell r="I141" t="str">
            <v>서울 강남구 삼성동 171-2</v>
          </cell>
          <cell r="J141" t="str">
            <v>정보사업팀</v>
          </cell>
          <cell r="K141" t="str">
            <v>정보사업팀</v>
          </cell>
          <cell r="L141" t="str">
            <v>단장</v>
          </cell>
          <cell r="M141" t="str">
            <v>길대식</v>
          </cell>
          <cell r="N141">
            <v>1006079</v>
          </cell>
        </row>
        <row r="142">
          <cell r="A142">
            <v>142</v>
          </cell>
          <cell r="B142">
            <v>79</v>
          </cell>
          <cell r="C142" t="str">
            <v>임상훈</v>
          </cell>
          <cell r="D142">
            <v>25</v>
          </cell>
          <cell r="E142">
            <v>7908051849711</v>
          </cell>
          <cell r="F142" t="str">
            <v>2002.05.01</v>
          </cell>
          <cell r="G142" t="str">
            <v>도서,우편 및 관련사무원(414)</v>
          </cell>
          <cell r="H142" t="str">
            <v>울산지점</v>
          </cell>
          <cell r="I142" t="str">
            <v>울산 남구 무거동 299-10</v>
          </cell>
          <cell r="J142" t="str">
            <v>울산지점</v>
          </cell>
          <cell r="K142" t="str">
            <v>울산지점</v>
          </cell>
          <cell r="L142" t="str">
            <v>지점장</v>
          </cell>
          <cell r="M142" t="str">
            <v>김상민</v>
          </cell>
          <cell r="N142">
            <v>1177223</v>
          </cell>
        </row>
        <row r="143">
          <cell r="A143">
            <v>143</v>
          </cell>
          <cell r="B143">
            <v>81</v>
          </cell>
          <cell r="C143" t="str">
            <v>임창주</v>
          </cell>
          <cell r="D143">
            <v>23</v>
          </cell>
          <cell r="E143">
            <v>8102212010112</v>
          </cell>
          <cell r="F143" t="str">
            <v>2002.05.10</v>
          </cell>
          <cell r="G143" t="str">
            <v>비서,타자사무원(411)</v>
          </cell>
          <cell r="H143" t="str">
            <v>동부지점</v>
          </cell>
          <cell r="I143" t="str">
            <v>서울 성동구 용답동235-2</v>
          </cell>
          <cell r="J143" t="str">
            <v>동부지점</v>
          </cell>
          <cell r="K143" t="str">
            <v>동부지점</v>
          </cell>
          <cell r="L143" t="str">
            <v>지점장</v>
          </cell>
          <cell r="M143" t="str">
            <v>김환룡</v>
          </cell>
          <cell r="N143">
            <v>883605</v>
          </cell>
        </row>
        <row r="144">
          <cell r="A144">
            <v>144</v>
          </cell>
          <cell r="B144">
            <v>79</v>
          </cell>
          <cell r="C144" t="str">
            <v>조미영</v>
          </cell>
          <cell r="D144">
            <v>25</v>
          </cell>
          <cell r="E144">
            <v>7910152261911</v>
          </cell>
          <cell r="F144" t="str">
            <v>2002.05.21</v>
          </cell>
          <cell r="G144" t="str">
            <v>비서,타자사무원(411)</v>
          </cell>
          <cell r="H144" t="str">
            <v>춘천지점</v>
          </cell>
          <cell r="I144" t="str">
            <v>강원도 춘천시 요선동 4-9</v>
          </cell>
          <cell r="J144" t="str">
            <v>춘천지점</v>
          </cell>
          <cell r="K144" t="str">
            <v>춘천지점</v>
          </cell>
          <cell r="L144" t="str">
            <v>지점장</v>
          </cell>
          <cell r="M144" t="str">
            <v>나상수</v>
          </cell>
          <cell r="N144">
            <v>883605</v>
          </cell>
        </row>
        <row r="145">
          <cell r="A145">
            <v>145</v>
          </cell>
          <cell r="B145">
            <v>74</v>
          </cell>
          <cell r="C145" t="str">
            <v>문희정</v>
          </cell>
          <cell r="D145">
            <v>30</v>
          </cell>
          <cell r="E145">
            <v>7408182631819</v>
          </cell>
          <cell r="F145" t="str">
            <v>2002.06.07</v>
          </cell>
          <cell r="G145" t="str">
            <v>비서,타자사무원(411)</v>
          </cell>
          <cell r="H145" t="str">
            <v>정보사업팀</v>
          </cell>
          <cell r="I145" t="str">
            <v>서울 강남구 삼성동 171-2</v>
          </cell>
          <cell r="J145" t="str">
            <v>정보사업팀</v>
          </cell>
          <cell r="K145" t="str">
            <v>정보사업팀</v>
          </cell>
          <cell r="L145" t="str">
            <v>단장</v>
          </cell>
          <cell r="M145" t="str">
            <v>길대식</v>
          </cell>
          <cell r="N145">
            <v>883605</v>
          </cell>
        </row>
        <row r="146">
          <cell r="A146">
            <v>146</v>
          </cell>
          <cell r="B146">
            <v>82</v>
          </cell>
          <cell r="C146" t="str">
            <v>안현희</v>
          </cell>
          <cell r="D146">
            <v>22</v>
          </cell>
          <cell r="E146">
            <v>8209302567424</v>
          </cell>
          <cell r="F146" t="str">
            <v>2002.06.10</v>
          </cell>
          <cell r="G146" t="str">
            <v>비서,타자사무원(411)</v>
          </cell>
          <cell r="H146" t="str">
            <v>목포지점</v>
          </cell>
          <cell r="I146" t="str">
            <v>전남 목포시 용담동 1081-3</v>
          </cell>
          <cell r="J146" t="str">
            <v>목포지점</v>
          </cell>
          <cell r="K146" t="str">
            <v>목포지점</v>
          </cell>
          <cell r="L146" t="str">
            <v>지점장</v>
          </cell>
          <cell r="M146" t="str">
            <v xml:space="preserve"> 양행옥</v>
          </cell>
          <cell r="N146">
            <v>883605</v>
          </cell>
        </row>
        <row r="147">
          <cell r="A147">
            <v>147</v>
          </cell>
          <cell r="B147">
            <v>78</v>
          </cell>
          <cell r="C147" t="str">
            <v>김지웅</v>
          </cell>
          <cell r="D147">
            <v>26</v>
          </cell>
          <cell r="E147">
            <v>7801051632039</v>
          </cell>
          <cell r="F147" t="str">
            <v>2002.06.24</v>
          </cell>
          <cell r="G147" t="str">
            <v>비서,타자사무원(411)</v>
          </cell>
          <cell r="H147" t="str">
            <v>정보사업팀</v>
          </cell>
          <cell r="I147" t="str">
            <v>서울 강남구 삼성동 171-2</v>
          </cell>
          <cell r="J147" t="str">
            <v>정보사업팀</v>
          </cell>
          <cell r="K147" t="str">
            <v>정보사업팀</v>
          </cell>
          <cell r="L147" t="str">
            <v>단장</v>
          </cell>
          <cell r="M147" t="str">
            <v>길대식</v>
          </cell>
          <cell r="N147">
            <v>883605</v>
          </cell>
        </row>
        <row r="148">
          <cell r="A148">
            <v>148</v>
          </cell>
          <cell r="B148">
            <v>82</v>
          </cell>
          <cell r="C148" t="str">
            <v>박지연</v>
          </cell>
          <cell r="D148">
            <v>22</v>
          </cell>
          <cell r="E148">
            <v>8202182246913</v>
          </cell>
          <cell r="F148" t="str">
            <v>2002.07.02</v>
          </cell>
          <cell r="G148" t="str">
            <v>비서,타자사무원(411)</v>
          </cell>
          <cell r="H148" t="str">
            <v>정보사업팀</v>
          </cell>
          <cell r="I148" t="str">
            <v>서울 강남구 삼성동 171-2</v>
          </cell>
          <cell r="J148" t="str">
            <v>정보사업팀</v>
          </cell>
          <cell r="K148" t="str">
            <v>정보사업팀</v>
          </cell>
          <cell r="L148" t="str">
            <v>단장</v>
          </cell>
          <cell r="M148" t="str">
            <v>길대식</v>
          </cell>
          <cell r="N148">
            <v>883605</v>
          </cell>
        </row>
        <row r="149">
          <cell r="A149">
            <v>149</v>
          </cell>
          <cell r="B149">
            <v>82</v>
          </cell>
          <cell r="C149" t="str">
            <v>이현정</v>
          </cell>
          <cell r="D149">
            <v>22</v>
          </cell>
          <cell r="E149">
            <v>8203122026319</v>
          </cell>
          <cell r="F149" t="str">
            <v>2002.07.02</v>
          </cell>
          <cell r="G149" t="str">
            <v>비서,타자사무원(411)</v>
          </cell>
          <cell r="H149" t="str">
            <v>정보사업팀</v>
          </cell>
          <cell r="I149" t="str">
            <v>서울 강남구 삼성동 171-2</v>
          </cell>
          <cell r="J149" t="str">
            <v>정보사업팀</v>
          </cell>
          <cell r="K149" t="str">
            <v>정보사업팀</v>
          </cell>
          <cell r="L149" t="str">
            <v>단장</v>
          </cell>
          <cell r="M149" t="str">
            <v>길대식</v>
          </cell>
          <cell r="N149">
            <v>883605</v>
          </cell>
        </row>
        <row r="150">
          <cell r="A150">
            <v>150</v>
          </cell>
          <cell r="B150">
            <v>79</v>
          </cell>
          <cell r="C150" t="str">
            <v>이혜경</v>
          </cell>
          <cell r="D150">
            <v>25</v>
          </cell>
          <cell r="E150">
            <v>7912282519813</v>
          </cell>
          <cell r="F150" t="str">
            <v>2002.07.10</v>
          </cell>
          <cell r="G150" t="str">
            <v>비서,타자사무원(411)</v>
          </cell>
          <cell r="H150" t="str">
            <v>정보사업팀</v>
          </cell>
          <cell r="I150" t="str">
            <v>서울 강남구 삼성동 171-2</v>
          </cell>
          <cell r="J150" t="str">
            <v>정보사업팀</v>
          </cell>
          <cell r="K150" t="str">
            <v>정보사업팀</v>
          </cell>
          <cell r="L150" t="str">
            <v>단장</v>
          </cell>
          <cell r="M150" t="str">
            <v>길대식</v>
          </cell>
          <cell r="N150">
            <v>883605</v>
          </cell>
        </row>
        <row r="151">
          <cell r="A151">
            <v>151</v>
          </cell>
          <cell r="B151">
            <v>79</v>
          </cell>
          <cell r="C151" t="str">
            <v>전옥순</v>
          </cell>
          <cell r="D151">
            <v>25</v>
          </cell>
          <cell r="E151">
            <v>79011032030522</v>
          </cell>
          <cell r="F151" t="str">
            <v>2002.07.13</v>
          </cell>
          <cell r="G151" t="str">
            <v>비서,타자사무원(411)</v>
          </cell>
          <cell r="H151" t="str">
            <v>정보사업팀</v>
          </cell>
          <cell r="I151" t="str">
            <v>서울 강남구 삼성동 171-2</v>
          </cell>
          <cell r="J151" t="str">
            <v>정보사업팀</v>
          </cell>
          <cell r="K151" t="str">
            <v>정보사업팀</v>
          </cell>
          <cell r="L151" t="str">
            <v>단장</v>
          </cell>
          <cell r="M151" t="str">
            <v>길대식</v>
          </cell>
          <cell r="N151">
            <v>883605</v>
          </cell>
        </row>
        <row r="152">
          <cell r="A152">
            <v>152</v>
          </cell>
          <cell r="B152">
            <v>80</v>
          </cell>
          <cell r="C152" t="str">
            <v>최성우</v>
          </cell>
          <cell r="D152">
            <v>24</v>
          </cell>
          <cell r="E152">
            <v>8012042852810</v>
          </cell>
          <cell r="F152" t="str">
            <v>2002.07.15</v>
          </cell>
          <cell r="G152" t="str">
            <v>비서,타자사무원(411)</v>
          </cell>
          <cell r="H152" t="str">
            <v>정보사업팀</v>
          </cell>
          <cell r="I152" t="str">
            <v>서울 강남구 삼성동 171-2</v>
          </cell>
          <cell r="J152" t="str">
            <v>정보사업팀</v>
          </cell>
          <cell r="K152" t="str">
            <v>정보사업팀</v>
          </cell>
          <cell r="L152" t="str">
            <v>단장</v>
          </cell>
          <cell r="M152" t="str">
            <v>길대식</v>
          </cell>
          <cell r="N152">
            <v>883605</v>
          </cell>
        </row>
        <row r="153">
          <cell r="A153">
            <v>153</v>
          </cell>
          <cell r="B153">
            <v>80</v>
          </cell>
          <cell r="C153" t="str">
            <v>김주영</v>
          </cell>
          <cell r="D153">
            <v>24</v>
          </cell>
          <cell r="E153">
            <v>8003252065315</v>
          </cell>
          <cell r="F153" t="str">
            <v>2002.07.19</v>
          </cell>
          <cell r="G153" t="str">
            <v>비서,타자사무원(411)</v>
          </cell>
          <cell r="H153" t="str">
            <v>정보사업팀</v>
          </cell>
          <cell r="I153" t="str">
            <v>서울 강남구 삼성동 171-2</v>
          </cell>
          <cell r="J153" t="str">
            <v>정보사업팀</v>
          </cell>
          <cell r="K153" t="str">
            <v>정보사업팀</v>
          </cell>
          <cell r="L153" t="str">
            <v>단장</v>
          </cell>
          <cell r="M153" t="str">
            <v>길대식</v>
          </cell>
          <cell r="N153">
            <v>883605</v>
          </cell>
        </row>
        <row r="154">
          <cell r="A154">
            <v>154</v>
          </cell>
          <cell r="B154">
            <v>79</v>
          </cell>
          <cell r="C154" t="str">
            <v>장민선</v>
          </cell>
          <cell r="D154">
            <v>25</v>
          </cell>
          <cell r="E154">
            <v>7908012849612</v>
          </cell>
          <cell r="F154" t="str">
            <v>2002.07.29</v>
          </cell>
          <cell r="G154" t="str">
            <v>비서,타자사무원(411)</v>
          </cell>
          <cell r="H154" t="str">
            <v>울산지점</v>
          </cell>
          <cell r="I154" t="str">
            <v>울산 남구 무거동 299-10</v>
          </cell>
          <cell r="J154" t="str">
            <v>울산지점</v>
          </cell>
          <cell r="K154" t="str">
            <v>울산지점</v>
          </cell>
          <cell r="L154" t="str">
            <v>지점장</v>
          </cell>
          <cell r="M154" t="str">
            <v>김상민</v>
          </cell>
          <cell r="N154">
            <v>1001263</v>
          </cell>
        </row>
        <row r="155">
          <cell r="A155">
            <v>155</v>
          </cell>
          <cell r="B155">
            <v>75</v>
          </cell>
          <cell r="C155" t="str">
            <v>백경민</v>
          </cell>
          <cell r="D155">
            <v>29</v>
          </cell>
          <cell r="E155">
            <v>7509042067526</v>
          </cell>
          <cell r="F155" t="str">
            <v>2002.08.01</v>
          </cell>
          <cell r="G155" t="str">
            <v>비서,타자사무원(411)</v>
          </cell>
          <cell r="H155" t="str">
            <v>정보사업팀</v>
          </cell>
          <cell r="I155" t="str">
            <v>서울 강남구 삼성동 171-2</v>
          </cell>
          <cell r="J155" t="str">
            <v>정보사업팀</v>
          </cell>
          <cell r="K155" t="str">
            <v>정보사업팀</v>
          </cell>
          <cell r="L155" t="str">
            <v>단장</v>
          </cell>
          <cell r="M155" t="str">
            <v>길대식</v>
          </cell>
          <cell r="N155">
            <v>883605</v>
          </cell>
        </row>
        <row r="156">
          <cell r="A156">
            <v>156</v>
          </cell>
          <cell r="B156">
            <v>74</v>
          </cell>
          <cell r="C156" t="str">
            <v>안도형</v>
          </cell>
          <cell r="D156">
            <v>30</v>
          </cell>
          <cell r="E156">
            <v>7403201482413</v>
          </cell>
          <cell r="F156" t="str">
            <v>2002.08.05</v>
          </cell>
          <cell r="G156" t="str">
            <v>비서,타자사무원(411)</v>
          </cell>
          <cell r="H156" t="str">
            <v>재건축사업팀</v>
          </cell>
          <cell r="I156" t="str">
            <v>서울 강남구 삼성동 171-2</v>
          </cell>
          <cell r="J156" t="str">
            <v>재건축사업팀</v>
          </cell>
          <cell r="K156" t="str">
            <v>재건축사업팀</v>
          </cell>
          <cell r="L156" t="str">
            <v>단장</v>
          </cell>
          <cell r="M156" t="str">
            <v>곽기석</v>
          </cell>
          <cell r="N156">
            <v>1528663</v>
          </cell>
        </row>
        <row r="157">
          <cell r="A157">
            <v>157</v>
          </cell>
          <cell r="B157">
            <v>72</v>
          </cell>
          <cell r="C157" t="str">
            <v>박대형</v>
          </cell>
          <cell r="D157">
            <v>32</v>
          </cell>
          <cell r="E157">
            <v>7210181279621</v>
          </cell>
          <cell r="F157" t="str">
            <v>2002.08.05</v>
          </cell>
          <cell r="G157" t="str">
            <v>비서,타자사무원(411)</v>
          </cell>
          <cell r="H157" t="str">
            <v>재건축사업팀</v>
          </cell>
          <cell r="I157" t="str">
            <v>서울 강남구 삼성동 171-2</v>
          </cell>
          <cell r="J157" t="str">
            <v>재건축사업팀</v>
          </cell>
          <cell r="K157" t="str">
            <v>재건축사업팀</v>
          </cell>
          <cell r="L157" t="str">
            <v>단장</v>
          </cell>
          <cell r="M157" t="str">
            <v>곽기석</v>
          </cell>
          <cell r="N157">
            <v>1528663</v>
          </cell>
        </row>
        <row r="158">
          <cell r="A158">
            <v>158</v>
          </cell>
          <cell r="B158">
            <v>76</v>
          </cell>
          <cell r="C158" t="str">
            <v>이호성</v>
          </cell>
          <cell r="D158">
            <v>28</v>
          </cell>
          <cell r="E158">
            <v>7604111560322</v>
          </cell>
          <cell r="F158" t="str">
            <v>2002.08.05</v>
          </cell>
          <cell r="G158" t="str">
            <v>비서,타자사무원(411)</v>
          </cell>
          <cell r="H158" t="str">
            <v>재건축사업팀</v>
          </cell>
          <cell r="I158" t="str">
            <v>서울 강남구 삼성동 171-2</v>
          </cell>
          <cell r="J158" t="str">
            <v>재건축사업팀</v>
          </cell>
          <cell r="K158" t="str">
            <v>재건축사업팀</v>
          </cell>
          <cell r="L158" t="str">
            <v>단장</v>
          </cell>
          <cell r="M158" t="str">
            <v>곽기석</v>
          </cell>
          <cell r="N158">
            <v>1528663</v>
          </cell>
        </row>
        <row r="159">
          <cell r="A159">
            <v>159</v>
          </cell>
          <cell r="B159">
            <v>73</v>
          </cell>
          <cell r="C159" t="str">
            <v>윤석태</v>
          </cell>
          <cell r="D159">
            <v>31</v>
          </cell>
          <cell r="E159">
            <v>7309081019324</v>
          </cell>
          <cell r="F159" t="str">
            <v>2002.08.06</v>
          </cell>
          <cell r="G159" t="str">
            <v>비서,타자사무원(411)</v>
          </cell>
          <cell r="H159" t="str">
            <v>정보사업팀</v>
          </cell>
          <cell r="I159" t="str">
            <v>서울 강남구 삼성동 171-2</v>
          </cell>
          <cell r="J159" t="str">
            <v>정보사업팀</v>
          </cell>
          <cell r="K159" t="str">
            <v>정보사업팀</v>
          </cell>
          <cell r="L159" t="str">
            <v>단장</v>
          </cell>
          <cell r="M159" t="str">
            <v>길대식</v>
          </cell>
          <cell r="N159">
            <v>883605</v>
          </cell>
        </row>
        <row r="160">
          <cell r="A160">
            <v>160</v>
          </cell>
          <cell r="B160">
            <v>79</v>
          </cell>
          <cell r="C160" t="str">
            <v>서유형</v>
          </cell>
          <cell r="D160">
            <v>25</v>
          </cell>
          <cell r="E160">
            <v>7902032636710</v>
          </cell>
          <cell r="F160" t="str">
            <v>2002.08.08</v>
          </cell>
          <cell r="G160" t="str">
            <v>비서,타자사무원(411)</v>
          </cell>
          <cell r="H160" t="str">
            <v>부동산평가부</v>
          </cell>
          <cell r="I160" t="str">
            <v>서울 강남구 삼성동 171-2</v>
          </cell>
          <cell r="J160" t="str">
            <v>부동산평가부</v>
          </cell>
          <cell r="K160" t="str">
            <v>부동산평가부</v>
          </cell>
          <cell r="L160" t="str">
            <v>부점장</v>
          </cell>
          <cell r="M160" t="str">
            <v>황선구</v>
          </cell>
          <cell r="N160">
            <v>943077</v>
          </cell>
        </row>
        <row r="161">
          <cell r="A161">
            <v>161</v>
          </cell>
          <cell r="B161">
            <v>84</v>
          </cell>
          <cell r="C161" t="str">
            <v>곽현숙</v>
          </cell>
          <cell r="D161">
            <v>20</v>
          </cell>
          <cell r="E161">
            <v>8404162390611</v>
          </cell>
          <cell r="F161" t="str">
            <v>2002.08.10</v>
          </cell>
          <cell r="G161" t="str">
            <v>비서,타자사무원(411)</v>
          </cell>
          <cell r="H161" t="str">
            <v>청주지점</v>
          </cell>
          <cell r="I161" t="str">
            <v>충북 청주시 상당구 북문로1가 68-11</v>
          </cell>
          <cell r="J161" t="str">
            <v>청주지점</v>
          </cell>
          <cell r="K161" t="str">
            <v>청주지점</v>
          </cell>
          <cell r="L161" t="str">
            <v>지점장</v>
          </cell>
          <cell r="M161" t="str">
            <v>정철영</v>
          </cell>
          <cell r="N161">
            <v>995863</v>
          </cell>
        </row>
        <row r="162">
          <cell r="A162">
            <v>162</v>
          </cell>
          <cell r="B162">
            <v>81</v>
          </cell>
          <cell r="C162" t="str">
            <v>김혜란</v>
          </cell>
          <cell r="D162">
            <v>23</v>
          </cell>
          <cell r="E162">
            <v>8103302032125</v>
          </cell>
          <cell r="F162" t="str">
            <v>2002.08.10</v>
          </cell>
          <cell r="G162" t="str">
            <v>비서,타자사무원(411)</v>
          </cell>
          <cell r="H162" t="str">
            <v>정보사업팀</v>
          </cell>
          <cell r="I162" t="str">
            <v>서울 강남구 삼성동 171-2</v>
          </cell>
          <cell r="J162" t="str">
            <v>정보사업팀</v>
          </cell>
          <cell r="K162" t="str">
            <v>정보사업팀</v>
          </cell>
          <cell r="L162" t="str">
            <v>단장</v>
          </cell>
          <cell r="M162" t="str">
            <v>길대식</v>
          </cell>
          <cell r="N162">
            <v>883605</v>
          </cell>
        </row>
        <row r="163">
          <cell r="A163">
            <v>163</v>
          </cell>
          <cell r="B163">
            <v>76</v>
          </cell>
          <cell r="C163" t="str">
            <v>안석</v>
          </cell>
          <cell r="D163">
            <v>28</v>
          </cell>
          <cell r="E163">
            <v>7611251019611</v>
          </cell>
          <cell r="F163" t="str">
            <v>2002.08.13</v>
          </cell>
          <cell r="G163" t="str">
            <v>비서,타자사무원(411)</v>
          </cell>
          <cell r="H163" t="str">
            <v>정보사업팀</v>
          </cell>
          <cell r="I163" t="str">
            <v>서울 강남구 삼성동 171-2</v>
          </cell>
          <cell r="J163" t="str">
            <v>정보사업팀</v>
          </cell>
          <cell r="K163" t="str">
            <v>정보사업팀</v>
          </cell>
          <cell r="L163" t="str">
            <v>단장</v>
          </cell>
          <cell r="M163" t="str">
            <v>길대식</v>
          </cell>
          <cell r="N163">
            <v>883605</v>
          </cell>
        </row>
        <row r="164">
          <cell r="A164">
            <v>164</v>
          </cell>
          <cell r="B164">
            <v>75</v>
          </cell>
          <cell r="C164" t="str">
            <v>김민지</v>
          </cell>
          <cell r="D164">
            <v>29</v>
          </cell>
          <cell r="E164">
            <v>7509272702711</v>
          </cell>
          <cell r="F164" t="str">
            <v>2002.08.19</v>
          </cell>
          <cell r="G164" t="str">
            <v>비서,타자사무원(411)</v>
          </cell>
          <cell r="H164" t="str">
            <v>정보사업팀</v>
          </cell>
          <cell r="I164" t="str">
            <v>서울 강남구 삼성동 171-2</v>
          </cell>
          <cell r="J164" t="str">
            <v>정보사업팀</v>
          </cell>
          <cell r="K164" t="str">
            <v>정보사업팀</v>
          </cell>
          <cell r="L164" t="str">
            <v>단장</v>
          </cell>
          <cell r="M164" t="str">
            <v>길대식</v>
          </cell>
          <cell r="N164">
            <v>883605</v>
          </cell>
        </row>
        <row r="165">
          <cell r="A165">
            <v>165</v>
          </cell>
          <cell r="B165">
            <v>75</v>
          </cell>
          <cell r="C165" t="str">
            <v>차금희</v>
          </cell>
          <cell r="D165">
            <v>29</v>
          </cell>
          <cell r="E165">
            <v>7511182850711</v>
          </cell>
          <cell r="F165" t="str">
            <v>2002.08.28</v>
          </cell>
          <cell r="G165" t="str">
            <v>도서,우편 및 관련사무원(414)</v>
          </cell>
          <cell r="H165" t="str">
            <v>울산지점</v>
          </cell>
          <cell r="I165" t="str">
            <v>울산 남구 무거동 299-10</v>
          </cell>
          <cell r="J165" t="str">
            <v>울산지점</v>
          </cell>
          <cell r="K165" t="str">
            <v>울산지점</v>
          </cell>
          <cell r="L165" t="str">
            <v>지점장</v>
          </cell>
          <cell r="M165" t="str">
            <v>김상민</v>
          </cell>
          <cell r="N165">
            <v>1168873</v>
          </cell>
        </row>
        <row r="166">
          <cell r="A166">
            <v>166</v>
          </cell>
          <cell r="B166">
            <v>78</v>
          </cell>
          <cell r="C166" t="str">
            <v>어윤태</v>
          </cell>
          <cell r="D166">
            <v>26</v>
          </cell>
          <cell r="E166">
            <v>7807031068715</v>
          </cell>
          <cell r="F166" t="str">
            <v>2002.08.29</v>
          </cell>
          <cell r="G166" t="str">
            <v>비서,타자사무원(411)</v>
          </cell>
          <cell r="H166" t="str">
            <v>정보사업팀</v>
          </cell>
          <cell r="I166" t="str">
            <v>서울 강남구 삼성동 171-2</v>
          </cell>
          <cell r="J166" t="str">
            <v>정보사업팀</v>
          </cell>
          <cell r="K166" t="str">
            <v>정보사업팀</v>
          </cell>
          <cell r="L166" t="str">
            <v>단장</v>
          </cell>
          <cell r="M166" t="str">
            <v>길대식</v>
          </cell>
          <cell r="N166">
            <v>883605</v>
          </cell>
        </row>
        <row r="167">
          <cell r="A167">
            <v>167</v>
          </cell>
          <cell r="B167">
            <v>77</v>
          </cell>
          <cell r="C167" t="str">
            <v>허경수</v>
          </cell>
          <cell r="D167">
            <v>27</v>
          </cell>
          <cell r="E167">
            <v>7705121398911</v>
          </cell>
          <cell r="F167" t="str">
            <v>2002.08.30</v>
          </cell>
          <cell r="G167" t="str">
            <v>비서,타자사무원(411)</v>
          </cell>
          <cell r="H167" t="str">
            <v>정보사업팀</v>
          </cell>
          <cell r="I167" t="str">
            <v>서울 강남구 삼성동 171-2</v>
          </cell>
          <cell r="J167" t="str">
            <v>정보사업팀</v>
          </cell>
          <cell r="K167" t="str">
            <v>정보사업팀</v>
          </cell>
          <cell r="L167" t="str">
            <v>단장</v>
          </cell>
          <cell r="M167" t="str">
            <v>길대식</v>
          </cell>
          <cell r="N167">
            <v>995863</v>
          </cell>
        </row>
        <row r="168">
          <cell r="A168">
            <v>168</v>
          </cell>
          <cell r="B168">
            <v>79</v>
          </cell>
          <cell r="C168" t="str">
            <v>정성희</v>
          </cell>
          <cell r="D168">
            <v>25</v>
          </cell>
          <cell r="E168">
            <v>7912092070311</v>
          </cell>
          <cell r="F168" t="str">
            <v>2002.09.01</v>
          </cell>
          <cell r="G168" t="str">
            <v>비서,타자사무원(411)</v>
          </cell>
          <cell r="H168" t="str">
            <v>중부지점</v>
          </cell>
          <cell r="I168" t="str">
            <v>서울 종로구 공평동1</v>
          </cell>
          <cell r="J168" t="str">
            <v>중부지점</v>
          </cell>
          <cell r="K168" t="str">
            <v>중부지점</v>
          </cell>
          <cell r="L168" t="str">
            <v>지점장</v>
          </cell>
          <cell r="M168" t="str">
            <v xml:space="preserve"> 김태수</v>
          </cell>
          <cell r="N168">
            <v>940377</v>
          </cell>
        </row>
        <row r="169">
          <cell r="A169">
            <v>169</v>
          </cell>
          <cell r="B169">
            <v>44</v>
          </cell>
          <cell r="C169" t="str">
            <v>정일동</v>
          </cell>
          <cell r="D169">
            <v>60</v>
          </cell>
          <cell r="E169">
            <v>4408121018119</v>
          </cell>
          <cell r="F169" t="str">
            <v>2002.09.01</v>
          </cell>
          <cell r="G169" t="str">
            <v>도서,우편 및 관련사무원(414)</v>
          </cell>
          <cell r="H169" t="str">
            <v>남부지점</v>
          </cell>
          <cell r="I169" t="str">
            <v>서울 영등포구 영등포동 4가57</v>
          </cell>
          <cell r="J169" t="str">
            <v>남부지점</v>
          </cell>
          <cell r="K169" t="str">
            <v>남부지점</v>
          </cell>
          <cell r="L169" t="str">
            <v>지점장</v>
          </cell>
          <cell r="M169" t="str">
            <v>변동조</v>
          </cell>
          <cell r="N169">
            <v>1639114</v>
          </cell>
        </row>
        <row r="170">
          <cell r="A170">
            <v>170</v>
          </cell>
          <cell r="B170">
            <v>44</v>
          </cell>
          <cell r="C170" t="str">
            <v>한홍근</v>
          </cell>
          <cell r="D170">
            <v>60</v>
          </cell>
          <cell r="E170">
            <v>4408061030011</v>
          </cell>
          <cell r="F170" t="str">
            <v>2002.09.01</v>
          </cell>
          <cell r="G170" t="str">
            <v>도서,우편 및 관련사무원(414)</v>
          </cell>
          <cell r="H170" t="str">
            <v>경영지원부</v>
          </cell>
          <cell r="I170" t="str">
            <v>서울 강남구 삼성동 171-2</v>
          </cell>
          <cell r="J170" t="str">
            <v>경영지원부</v>
          </cell>
          <cell r="K170" t="str">
            <v>경영지원부</v>
          </cell>
          <cell r="L170" t="str">
            <v>부점장</v>
          </cell>
          <cell r="M170" t="str">
            <v>김범두</v>
          </cell>
          <cell r="N170">
            <v>1639114</v>
          </cell>
        </row>
        <row r="171">
          <cell r="A171">
            <v>171</v>
          </cell>
          <cell r="B171">
            <v>83</v>
          </cell>
          <cell r="C171" t="str">
            <v>박영아</v>
          </cell>
          <cell r="D171">
            <v>21</v>
          </cell>
          <cell r="E171">
            <v>8305282781415</v>
          </cell>
          <cell r="F171" t="str">
            <v>2002.09.05</v>
          </cell>
          <cell r="G171" t="str">
            <v>비서,타자사무원(411)</v>
          </cell>
          <cell r="H171" t="str">
            <v>구미지점</v>
          </cell>
          <cell r="I171" t="str">
            <v>경북 구미시 송정동 46-2</v>
          </cell>
          <cell r="J171" t="str">
            <v>구미지점</v>
          </cell>
          <cell r="K171" t="str">
            <v>구미지점</v>
          </cell>
          <cell r="L171" t="str">
            <v>지점장</v>
          </cell>
          <cell r="M171" t="str">
            <v>이승재</v>
          </cell>
          <cell r="N171">
            <v>883605</v>
          </cell>
        </row>
        <row r="172">
          <cell r="A172">
            <v>172</v>
          </cell>
          <cell r="B172">
            <v>80</v>
          </cell>
          <cell r="C172" t="str">
            <v>윤효정</v>
          </cell>
          <cell r="D172">
            <v>24</v>
          </cell>
          <cell r="E172">
            <v>8009022018811</v>
          </cell>
          <cell r="F172" t="str">
            <v>2002.09.09</v>
          </cell>
          <cell r="G172" t="str">
            <v>비서,타자사무원(411)</v>
          </cell>
          <cell r="H172" t="str">
            <v>정보사업팀</v>
          </cell>
          <cell r="I172" t="str">
            <v>서울 강남구 삼성동 171-2</v>
          </cell>
          <cell r="J172" t="str">
            <v>정보사업팀</v>
          </cell>
          <cell r="K172" t="str">
            <v>정보사업팀</v>
          </cell>
          <cell r="L172" t="str">
            <v>단장</v>
          </cell>
          <cell r="M172" t="str">
            <v>길대식</v>
          </cell>
          <cell r="N172">
            <v>944595</v>
          </cell>
        </row>
        <row r="173">
          <cell r="A173">
            <v>173</v>
          </cell>
          <cell r="B173">
            <v>81</v>
          </cell>
          <cell r="C173" t="str">
            <v>김수미</v>
          </cell>
          <cell r="D173">
            <v>23</v>
          </cell>
          <cell r="E173">
            <v>8103092908616</v>
          </cell>
          <cell r="F173" t="str">
            <v>2002.09.16</v>
          </cell>
          <cell r="G173" t="str">
            <v>도서,우편 및 관련사무원(414)</v>
          </cell>
          <cell r="H173" t="str">
            <v>마산지점</v>
          </cell>
          <cell r="I173" t="str">
            <v>경남 마산시 오동동 105-1</v>
          </cell>
          <cell r="J173" t="str">
            <v>마산지점</v>
          </cell>
          <cell r="K173" t="str">
            <v>마산지점</v>
          </cell>
          <cell r="L173" t="str">
            <v>지점장</v>
          </cell>
          <cell r="M173" t="str">
            <v>이순범</v>
          </cell>
          <cell r="N173">
            <v>1200098</v>
          </cell>
        </row>
        <row r="174">
          <cell r="A174">
            <v>174</v>
          </cell>
          <cell r="B174">
            <v>85</v>
          </cell>
          <cell r="C174" t="str">
            <v>김향선</v>
          </cell>
          <cell r="D174">
            <v>19</v>
          </cell>
          <cell r="E174">
            <v>8502012668523</v>
          </cell>
          <cell r="F174" t="str">
            <v>2002.09.23</v>
          </cell>
          <cell r="G174" t="str">
            <v>비서,타자사무원(411)</v>
          </cell>
          <cell r="H174" t="str">
            <v>목포지점</v>
          </cell>
          <cell r="I174" t="str">
            <v>전남 목포시 용담동 1081-3</v>
          </cell>
          <cell r="J174" t="str">
            <v>목포지점</v>
          </cell>
          <cell r="K174" t="str">
            <v>목포지점</v>
          </cell>
          <cell r="L174" t="str">
            <v>지점장</v>
          </cell>
          <cell r="M174" t="str">
            <v xml:space="preserve"> 양행옥</v>
          </cell>
          <cell r="N174">
            <v>883605</v>
          </cell>
        </row>
        <row r="175">
          <cell r="A175">
            <v>175</v>
          </cell>
          <cell r="B175">
            <v>80</v>
          </cell>
          <cell r="C175" t="str">
            <v>이효승</v>
          </cell>
          <cell r="D175">
            <v>24</v>
          </cell>
          <cell r="E175">
            <v>8002051070512</v>
          </cell>
          <cell r="F175" t="str">
            <v>2002.09.24</v>
          </cell>
          <cell r="G175" t="str">
            <v>비서,타자사무원(411)</v>
          </cell>
          <cell r="H175" t="str">
            <v>남부지점</v>
          </cell>
          <cell r="I175" t="str">
            <v>서울 영등포구 영등포동 4가57</v>
          </cell>
          <cell r="J175" t="str">
            <v>남부지점</v>
          </cell>
          <cell r="K175" t="str">
            <v>남부지점</v>
          </cell>
          <cell r="L175" t="str">
            <v>지점장</v>
          </cell>
          <cell r="M175" t="str">
            <v>변동조</v>
          </cell>
          <cell r="N175">
            <v>886305</v>
          </cell>
        </row>
        <row r="176">
          <cell r="A176">
            <v>176</v>
          </cell>
          <cell r="B176">
            <v>76</v>
          </cell>
          <cell r="C176" t="str">
            <v>문원희</v>
          </cell>
          <cell r="D176">
            <v>28</v>
          </cell>
          <cell r="E176">
            <v>7601242168331</v>
          </cell>
          <cell r="F176" t="str">
            <v>2002.09.24</v>
          </cell>
          <cell r="G176" t="str">
            <v>비서,타자사무원(411)</v>
          </cell>
          <cell r="H176" t="str">
            <v>성남지점</v>
          </cell>
          <cell r="I176" t="str">
            <v>경기도 성남시 분당구 야탑동358-1</v>
          </cell>
          <cell r="J176" t="str">
            <v>성남지점</v>
          </cell>
          <cell r="K176" t="str">
            <v>성남지점</v>
          </cell>
          <cell r="L176" t="str">
            <v>지점장</v>
          </cell>
          <cell r="M176" t="str">
            <v>최은택</v>
          </cell>
          <cell r="N176">
            <v>1056760</v>
          </cell>
        </row>
        <row r="177">
          <cell r="A177">
            <v>177</v>
          </cell>
          <cell r="B177">
            <v>73</v>
          </cell>
          <cell r="C177" t="str">
            <v>김일화</v>
          </cell>
          <cell r="D177">
            <v>31</v>
          </cell>
          <cell r="E177">
            <v>7306162912318</v>
          </cell>
          <cell r="F177" t="str">
            <v>2002.09.25</v>
          </cell>
          <cell r="G177" t="str">
            <v>비서,타자사무원(411)</v>
          </cell>
          <cell r="H177" t="str">
            <v>경영지원부</v>
          </cell>
          <cell r="I177" t="str">
            <v>서울 강남구 삼성동 171-2</v>
          </cell>
          <cell r="J177" t="str">
            <v>경영지원부</v>
          </cell>
          <cell r="K177" t="str">
            <v>경영지원부</v>
          </cell>
          <cell r="L177" t="str">
            <v>부점장</v>
          </cell>
          <cell r="M177" t="str">
            <v>김범두</v>
          </cell>
          <cell r="N177">
            <v>939097</v>
          </cell>
        </row>
        <row r="178">
          <cell r="A178">
            <v>178</v>
          </cell>
          <cell r="B178">
            <v>76</v>
          </cell>
          <cell r="C178" t="str">
            <v>최익준</v>
          </cell>
          <cell r="D178">
            <v>28</v>
          </cell>
          <cell r="E178">
            <v>7603021932121</v>
          </cell>
          <cell r="F178" t="str">
            <v>2002.09.26</v>
          </cell>
          <cell r="G178" t="str">
            <v>비서,타자사무원(411)</v>
          </cell>
          <cell r="H178" t="str">
            <v>제주지점</v>
          </cell>
          <cell r="I178" t="str">
            <v>제주 제주시 이도2동 390</v>
          </cell>
          <cell r="J178" t="str">
            <v>제주지점</v>
          </cell>
          <cell r="K178" t="str">
            <v>제주지점</v>
          </cell>
          <cell r="L178" t="str">
            <v>지점장</v>
          </cell>
          <cell r="M178" t="str">
            <v>최승훈</v>
          </cell>
          <cell r="N178">
            <v>1051360</v>
          </cell>
        </row>
        <row r="179">
          <cell r="A179">
            <v>179</v>
          </cell>
          <cell r="B179">
            <v>81</v>
          </cell>
          <cell r="C179" t="str">
            <v>조정은</v>
          </cell>
          <cell r="D179">
            <v>23</v>
          </cell>
          <cell r="E179">
            <v>8102082070326</v>
          </cell>
          <cell r="F179" t="str">
            <v>2002.09.28</v>
          </cell>
          <cell r="G179" t="str">
            <v>비서,타자사무원(411)</v>
          </cell>
          <cell r="H179" t="str">
            <v>성남지점</v>
          </cell>
          <cell r="I179" t="str">
            <v>경기도 성남시 분당구 야탑동358-1</v>
          </cell>
          <cell r="J179" t="str">
            <v>성남지점</v>
          </cell>
          <cell r="K179" t="str">
            <v>성남지점</v>
          </cell>
          <cell r="L179" t="str">
            <v>지점장</v>
          </cell>
          <cell r="M179" t="str">
            <v>최은택</v>
          </cell>
          <cell r="N179">
            <v>1161702</v>
          </cell>
        </row>
        <row r="180">
          <cell r="A180">
            <v>180</v>
          </cell>
          <cell r="B180">
            <v>80</v>
          </cell>
          <cell r="C180" t="str">
            <v>김현경</v>
          </cell>
          <cell r="D180">
            <v>24</v>
          </cell>
          <cell r="E180">
            <v>8006252178719</v>
          </cell>
          <cell r="F180" t="str">
            <v>2002.09.30</v>
          </cell>
          <cell r="G180" t="str">
            <v>비서,타자사무원(411)</v>
          </cell>
          <cell r="H180" t="str">
            <v>경영지원부</v>
          </cell>
          <cell r="I180" t="str">
            <v>서울 강남구 삼성동 171-2</v>
          </cell>
          <cell r="J180" t="str">
            <v>경영지원부</v>
          </cell>
          <cell r="K180" t="str">
            <v>경영지원부</v>
          </cell>
          <cell r="L180" t="str">
            <v>부점장</v>
          </cell>
          <cell r="M180" t="str">
            <v>김범두</v>
          </cell>
          <cell r="N180">
            <v>883605</v>
          </cell>
        </row>
        <row r="181">
          <cell r="D181">
            <v>104</v>
          </cell>
        </row>
        <row r="182">
          <cell r="D182">
            <v>104</v>
          </cell>
        </row>
        <row r="183">
          <cell r="D183">
            <v>104</v>
          </cell>
        </row>
        <row r="184">
          <cell r="D184">
            <v>104</v>
          </cell>
        </row>
        <row r="227">
          <cell r="J227" t="str">
            <v>G-TV기술팀</v>
          </cell>
          <cell r="O227" t="str">
            <v>789-3675</v>
          </cell>
          <cell r="P227" t="str">
            <v>011-9970-1875</v>
          </cell>
        </row>
        <row r="284">
          <cell r="A284" t="str">
            <v>강재경</v>
          </cell>
          <cell r="B284">
            <v>1959</v>
          </cell>
          <cell r="C284">
            <v>45</v>
          </cell>
          <cell r="D284" t="str">
            <v>591022-1068816</v>
          </cell>
          <cell r="E284" t="str">
            <v>2002.02.01~   2003.01.31</v>
          </cell>
          <cell r="F284">
            <v>20020808</v>
          </cell>
          <cell r="J284" t="str">
            <v>총무부</v>
          </cell>
          <cell r="O284" t="str">
            <v>789-2898</v>
          </cell>
          <cell r="P284" t="str">
            <v>011-271-0937 878-0959</v>
          </cell>
        </row>
        <row r="285">
          <cell r="A285" t="str">
            <v>김강석</v>
          </cell>
          <cell r="B285">
            <v>1975</v>
          </cell>
          <cell r="C285">
            <v>29</v>
          </cell>
          <cell r="D285" t="str">
            <v>750512-1148612</v>
          </cell>
          <cell r="E285" t="str">
            <v>2002.02.01~   2003.01.31</v>
          </cell>
          <cell r="F285">
            <v>20001107</v>
          </cell>
          <cell r="J285" t="str">
            <v>영상1부</v>
          </cell>
          <cell r="O285" t="str">
            <v>789-2878</v>
          </cell>
          <cell r="P285" t="str">
            <v>011-9954-1512032-435-9789</v>
          </cell>
        </row>
        <row r="286">
          <cell r="A286" t="str">
            <v>김경미</v>
          </cell>
          <cell r="B286">
            <v>1981</v>
          </cell>
          <cell r="C286">
            <v>23</v>
          </cell>
          <cell r="D286" t="str">
            <v>811221-2019413</v>
          </cell>
          <cell r="E286" t="str">
            <v>2002.02.01~   2003.01.31</v>
          </cell>
          <cell r="F286">
            <v>20020522</v>
          </cell>
          <cell r="J286" t="str">
            <v>영상1부</v>
          </cell>
          <cell r="O286" t="str">
            <v>789-2878</v>
          </cell>
          <cell r="P286" t="str">
            <v>011-9929-9075</v>
          </cell>
        </row>
        <row r="287">
          <cell r="A287" t="str">
            <v>김경진</v>
          </cell>
          <cell r="B287">
            <v>1978</v>
          </cell>
          <cell r="C287">
            <v>26</v>
          </cell>
          <cell r="D287" t="str">
            <v>780703-1017221</v>
          </cell>
          <cell r="E287" t="str">
            <v>2002.02.01~   2003.01.31</v>
          </cell>
          <cell r="F287">
            <v>20020821</v>
          </cell>
          <cell r="J287" t="str">
            <v>영상취재1부</v>
          </cell>
          <cell r="O287" t="str">
            <v>789-2579</v>
          </cell>
          <cell r="P287" t="str">
            <v>011-667-1017 434-7891</v>
          </cell>
        </row>
        <row r="288">
          <cell r="A288" t="str">
            <v>김기완</v>
          </cell>
          <cell r="B288">
            <v>1979</v>
          </cell>
          <cell r="C288">
            <v>25</v>
          </cell>
          <cell r="D288" t="str">
            <v>790612-1408610</v>
          </cell>
          <cell r="E288" t="str">
            <v>2002.02.01~   2003.01.31</v>
          </cell>
          <cell r="F288">
            <v>20021011</v>
          </cell>
          <cell r="J288" t="str">
            <v>영상취재1부</v>
          </cell>
          <cell r="O288" t="str">
            <v>789-2878</v>
          </cell>
          <cell r="P288" t="str">
            <v>011-9132-3905</v>
          </cell>
        </row>
        <row r="289">
          <cell r="A289" t="str">
            <v>김대현</v>
          </cell>
          <cell r="B289">
            <v>1973</v>
          </cell>
          <cell r="C289">
            <v>31</v>
          </cell>
          <cell r="D289" t="str">
            <v>730225-1056011</v>
          </cell>
          <cell r="E289" t="str">
            <v>2002.02.01~   2003.01.31</v>
          </cell>
          <cell r="F289">
            <v>20020313</v>
          </cell>
          <cell r="J289" t="str">
            <v>총무부</v>
          </cell>
          <cell r="O289" t="str">
            <v>789-2276</v>
          </cell>
          <cell r="P289" t="str">
            <v>018-235-9946</v>
          </cell>
        </row>
        <row r="290">
          <cell r="A290" t="str">
            <v>김동완</v>
          </cell>
          <cell r="B290">
            <v>1975</v>
          </cell>
          <cell r="C290">
            <v>29</v>
          </cell>
          <cell r="D290" t="str">
            <v>750723-1702616</v>
          </cell>
          <cell r="E290" t="str">
            <v>2002.02.01~   2003.01.31</v>
          </cell>
          <cell r="F290">
            <v>20020531</v>
          </cell>
          <cell r="J290" t="str">
            <v>영상1부</v>
          </cell>
          <cell r="O290" t="str">
            <v>789-2878</v>
          </cell>
          <cell r="P290" t="str">
            <v>011-9767-56743665-4353</v>
          </cell>
        </row>
        <row r="291">
          <cell r="A291" t="str">
            <v>김동우</v>
          </cell>
          <cell r="B291">
            <v>1977</v>
          </cell>
          <cell r="C291">
            <v>27</v>
          </cell>
          <cell r="D291" t="str">
            <v>770421-1065321</v>
          </cell>
          <cell r="E291" t="str">
            <v>2002.02.01~   2003.01.31</v>
          </cell>
          <cell r="F291">
            <v>20010801</v>
          </cell>
          <cell r="J291" t="str">
            <v>스포츠영상</v>
          </cell>
          <cell r="O291" t="str">
            <v>789-2649</v>
          </cell>
          <cell r="P291" t="str">
            <v>019-203-8555</v>
          </cell>
        </row>
        <row r="292">
          <cell r="A292" t="str">
            <v>김동우</v>
          </cell>
          <cell r="B292">
            <v>1970</v>
          </cell>
          <cell r="C292">
            <v>34</v>
          </cell>
          <cell r="D292" t="str">
            <v>700126-1357511</v>
          </cell>
          <cell r="E292" t="str">
            <v>2002.02.01~   2003.01.31</v>
          </cell>
          <cell r="F292">
            <v>20020715</v>
          </cell>
          <cell r="J292" t="str">
            <v>총무부</v>
          </cell>
          <cell r="O292" t="str">
            <v>789-2896</v>
          </cell>
          <cell r="P292" t="str">
            <v>019-311-3819 02-997-3819</v>
          </cell>
        </row>
        <row r="293">
          <cell r="A293" t="str">
            <v>김명상</v>
          </cell>
          <cell r="B293">
            <v>1976</v>
          </cell>
          <cell r="C293">
            <v>28</v>
          </cell>
          <cell r="D293" t="str">
            <v>760326-1183518</v>
          </cell>
          <cell r="E293" t="str">
            <v>2002.02.01~   2003.01.31</v>
          </cell>
          <cell r="F293">
            <v>20020817</v>
          </cell>
          <cell r="J293" t="str">
            <v>영상1부</v>
          </cell>
          <cell r="O293" t="str">
            <v>789-2878</v>
          </cell>
          <cell r="P293" t="str">
            <v>011-9375-2881032-651-2881</v>
          </cell>
        </row>
        <row r="294">
          <cell r="A294" t="str">
            <v>김미화</v>
          </cell>
          <cell r="B294">
            <v>1981</v>
          </cell>
          <cell r="C294">
            <v>23</v>
          </cell>
          <cell r="D294" t="str">
            <v>810620-2067817</v>
          </cell>
          <cell r="E294" t="str">
            <v>2002.02.01~   2003.01.31</v>
          </cell>
          <cell r="F294">
            <v>20010305</v>
          </cell>
          <cell r="J294" t="str">
            <v>보도제작1부</v>
          </cell>
          <cell r="P294" t="str">
            <v>011-9952-9189</v>
          </cell>
        </row>
        <row r="295">
          <cell r="A295" t="str">
            <v>김병훈</v>
          </cell>
          <cell r="B295">
            <v>1978</v>
          </cell>
          <cell r="C295">
            <v>26</v>
          </cell>
          <cell r="D295" t="str">
            <v>780109-1465021</v>
          </cell>
          <cell r="E295" t="str">
            <v>2002.02.01~   2003.01.31</v>
          </cell>
          <cell r="F295">
            <v>20001220</v>
          </cell>
          <cell r="J295" t="str">
            <v>TV중계팀</v>
          </cell>
          <cell r="O295" t="str">
            <v>789-3584</v>
          </cell>
          <cell r="P295" t="str">
            <v>016-705-3570 2616-3570</v>
          </cell>
        </row>
        <row r="296">
          <cell r="A296" t="str">
            <v>김성원</v>
          </cell>
          <cell r="B296">
            <v>1978</v>
          </cell>
          <cell r="C296">
            <v>26</v>
          </cell>
          <cell r="D296" t="str">
            <v>780311-1637912</v>
          </cell>
          <cell r="E296" t="str">
            <v>2002.02.01~   2003.01.31</v>
          </cell>
          <cell r="F296">
            <v>20010226</v>
          </cell>
          <cell r="J296" t="str">
            <v>보도기술팀</v>
          </cell>
          <cell r="O296" t="str">
            <v>789-3575</v>
          </cell>
          <cell r="P296" t="str">
            <v>019-315-3335</v>
          </cell>
        </row>
        <row r="297">
          <cell r="A297" t="str">
            <v>김수경</v>
          </cell>
          <cell r="B297">
            <v>1977</v>
          </cell>
          <cell r="C297">
            <v>27</v>
          </cell>
          <cell r="D297" t="str">
            <v>770503-2042538</v>
          </cell>
          <cell r="E297" t="str">
            <v>2002.02.01~   2003.01.31</v>
          </cell>
          <cell r="F297">
            <v>20020227</v>
          </cell>
          <cell r="J297" t="str">
            <v>총무부</v>
          </cell>
          <cell r="O297" t="str">
            <v>789-1014</v>
          </cell>
          <cell r="P297" t="str">
            <v>017-722-9693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근로급여별세표"/>
      <sheetName val="2000년"/>
      <sheetName val="2001년(현행)"/>
      <sheetName val="2001년(1안, 2안)"/>
      <sheetName val="2001년(3안)"/>
      <sheetName val="2001년(4안)"/>
      <sheetName val="계충별(1안)"/>
      <sheetName val="계충별(2안)"/>
      <sheetName val="계충별(3안)"/>
      <sheetName val="계충별(4안)"/>
      <sheetName val="계충별(사업)"/>
      <sheetName val="사업소득자세수추계"/>
      <sheetName val="경감율 차트"/>
      <sheetName val="세부담율 차트"/>
      <sheetName val="겸감율 종합"/>
      <sheetName val="계충별(논외1안)"/>
      <sheetName val="계충별(논외2안)"/>
      <sheetName val="계충별(논외3안)"/>
      <sheetName val="계충별(논외4안)"/>
      <sheetName val="계충별(논외5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8">
          <cell r="A58">
            <v>10000000</v>
          </cell>
          <cell r="B58">
            <v>0.1</v>
          </cell>
        </row>
        <row r="59">
          <cell r="A59">
            <v>40000000</v>
          </cell>
          <cell r="B59">
            <v>0.2</v>
          </cell>
        </row>
        <row r="60">
          <cell r="A60">
            <v>80000000</v>
          </cell>
          <cell r="B60">
            <v>0.3</v>
          </cell>
        </row>
        <row r="61">
          <cell r="A61">
            <v>0</v>
          </cell>
          <cell r="B61">
            <v>0.4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센터"/>
      <sheetName val="세부 증감 내역(장림)"/>
      <sheetName val="세부 증감 내역(부산)"/>
      <sheetName val="세부 증감 내역(양산)"/>
      <sheetName val="Format"/>
      <sheetName val="Header"/>
      <sheetName val="Sheet1"/>
      <sheetName val="RawData"/>
      <sheetName val="Sub3"/>
      <sheetName val="Sub4"/>
      <sheetName val="Sub5"/>
      <sheetName val="Sub6"/>
      <sheetName val="Sub7"/>
      <sheetName val="Sub8"/>
      <sheetName val="Sub9"/>
      <sheetName val="Sub10"/>
      <sheetName val="Raw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2005</v>
          </cell>
          <cell r="B2" t="str">
            <v>31201</v>
          </cell>
          <cell r="C2" t="str">
            <v>3PL영업1팀</v>
          </cell>
          <cell r="D2" t="str">
            <v>51400200</v>
          </cell>
          <cell r="E2" t="str">
            <v>3PL배송비-컨설팅소모경비</v>
          </cell>
          <cell r="F2">
            <v>0</v>
          </cell>
        </row>
        <row r="3">
          <cell r="B3" t="str">
            <v>32201</v>
          </cell>
          <cell r="C3" t="str">
            <v>CJ지원팀</v>
          </cell>
          <cell r="D3" t="str">
            <v>51350200</v>
          </cell>
          <cell r="E3" t="str">
            <v>3PL배송비-보관비-보관창고임차료</v>
          </cell>
          <cell r="F3">
            <v>34301900</v>
          </cell>
        </row>
        <row r="4">
          <cell r="B4" t="str">
            <v>32201</v>
          </cell>
          <cell r="C4" t="str">
            <v>CJ지원팀</v>
          </cell>
          <cell r="D4" t="str">
            <v>51400200</v>
          </cell>
          <cell r="E4" t="str">
            <v>3PL배송비-컨설팅소모경비</v>
          </cell>
          <cell r="F4">
            <v>2045488</v>
          </cell>
        </row>
        <row r="5">
          <cell r="B5" t="str">
            <v>32302</v>
          </cell>
          <cell r="C5" t="str">
            <v>서울물류파트</v>
          </cell>
          <cell r="D5" t="str">
            <v>51250600</v>
          </cell>
          <cell r="E5" t="str">
            <v>3PL배송비-센타하역비-물류소모품비</v>
          </cell>
          <cell r="F5">
            <v>612000</v>
          </cell>
        </row>
        <row r="6">
          <cell r="D6" t="str">
            <v>51250700</v>
          </cell>
          <cell r="E6" t="str">
            <v>3PL배송비-센타하역비-물동량성과급</v>
          </cell>
          <cell r="F6">
            <v>93122922</v>
          </cell>
        </row>
        <row r="7">
          <cell r="D7" t="str">
            <v>51250800</v>
          </cell>
          <cell r="E7" t="str">
            <v>3PL배송비-센타하역비-타사파렛트렌탈료</v>
          </cell>
          <cell r="F7">
            <v>0</v>
          </cell>
        </row>
        <row r="8">
          <cell r="D8" t="str">
            <v>51350100</v>
          </cell>
          <cell r="E8" t="str">
            <v>3PL배송비-보관비-분류창고임차료</v>
          </cell>
          <cell r="F8">
            <v>13533890</v>
          </cell>
        </row>
        <row r="9">
          <cell r="B9" t="str">
            <v>32302</v>
          </cell>
          <cell r="C9" t="str">
            <v>서울물류파트</v>
          </cell>
          <cell r="D9" t="str">
            <v>51350200</v>
          </cell>
          <cell r="E9" t="str">
            <v>3PL배송비-보관비-보관창고임차료</v>
          </cell>
          <cell r="F9">
            <v>37975110</v>
          </cell>
        </row>
        <row r="10">
          <cell r="B10" t="str">
            <v>32303</v>
          </cell>
          <cell r="C10" t="str">
            <v>쥴릭서울센터</v>
          </cell>
          <cell r="D10" t="str">
            <v>51250100</v>
          </cell>
          <cell r="E10" t="str">
            <v>3PL배송비-센타하역비-전산관리직인건비</v>
          </cell>
          <cell r="F10">
            <v>0</v>
          </cell>
        </row>
        <row r="11">
          <cell r="D11" t="str">
            <v>51250200</v>
          </cell>
          <cell r="E11" t="str">
            <v>3PL배송비-센타하역비-하역고정직인건비</v>
          </cell>
          <cell r="F11">
            <v>2671770</v>
          </cell>
        </row>
        <row r="12">
          <cell r="D12" t="str">
            <v>51250300</v>
          </cell>
          <cell r="E12" t="str">
            <v>3PL배송비-센타하역비-하역임시직인건비</v>
          </cell>
          <cell r="F12">
            <v>735000</v>
          </cell>
        </row>
        <row r="13">
          <cell r="D13" t="str">
            <v>51250600</v>
          </cell>
          <cell r="E13" t="str">
            <v>3PL배송비-센타하역비-물류소모품비</v>
          </cell>
          <cell r="F13">
            <v>0</v>
          </cell>
        </row>
        <row r="14">
          <cell r="B14" t="str">
            <v>32303</v>
          </cell>
          <cell r="C14" t="str">
            <v>쥴릭서울센터</v>
          </cell>
          <cell r="D14" t="str">
            <v>51350200</v>
          </cell>
          <cell r="E14" t="str">
            <v>3PL배송비-보관비-보관창고임차료</v>
          </cell>
          <cell r="F14">
            <v>8112000</v>
          </cell>
        </row>
        <row r="15">
          <cell r="B15" t="str">
            <v>32304</v>
          </cell>
          <cell r="C15" t="str">
            <v>수원물류파트</v>
          </cell>
          <cell r="D15" t="str">
            <v>51250600</v>
          </cell>
          <cell r="E15" t="str">
            <v>3PL배송비-센타하역비-물류소모품비</v>
          </cell>
          <cell r="F15">
            <v>696000</v>
          </cell>
        </row>
        <row r="16">
          <cell r="D16" t="str">
            <v>51250700</v>
          </cell>
          <cell r="E16" t="str">
            <v>3PL배송비-센타하역비-물동량성과급</v>
          </cell>
          <cell r="F16">
            <v>26181955</v>
          </cell>
        </row>
        <row r="17">
          <cell r="D17" t="str">
            <v>51250800</v>
          </cell>
          <cell r="E17" t="str">
            <v>3PL배송비-센타하역비-타사파렛트렌탈료</v>
          </cell>
          <cell r="F17">
            <v>0</v>
          </cell>
        </row>
        <row r="18">
          <cell r="D18" t="str">
            <v>51251000</v>
          </cell>
          <cell r="E18" t="str">
            <v>3PL배송비-센타하역비-기타</v>
          </cell>
          <cell r="F18">
            <v>150000</v>
          </cell>
        </row>
        <row r="19">
          <cell r="B19" t="str">
            <v>32304</v>
          </cell>
          <cell r="C19" t="str">
            <v>수원물류파트</v>
          </cell>
          <cell r="D19" t="str">
            <v>51600200</v>
          </cell>
          <cell r="E19" t="str">
            <v>3PL배송비-반품비-배송반품운송비</v>
          </cell>
          <cell r="F19">
            <v>0</v>
          </cell>
        </row>
        <row r="20">
          <cell r="B20" t="str">
            <v>32305</v>
          </cell>
          <cell r="C20" t="str">
            <v>KAM센터</v>
          </cell>
          <cell r="D20" t="str">
            <v>51250600</v>
          </cell>
          <cell r="E20" t="str">
            <v>3PL배송비-센타하역비-물류소모품비</v>
          </cell>
          <cell r="F20">
            <v>13441500</v>
          </cell>
        </row>
        <row r="21">
          <cell r="D21" t="str">
            <v>51250700</v>
          </cell>
          <cell r="E21" t="str">
            <v>3PL배송비-센타하역비-물동량성과급</v>
          </cell>
          <cell r="F21">
            <v>273426801</v>
          </cell>
        </row>
        <row r="22">
          <cell r="D22" t="str">
            <v>51250800</v>
          </cell>
          <cell r="E22" t="str">
            <v>3PL배송비-센타하역비-타사파렛트렌탈료</v>
          </cell>
          <cell r="F22">
            <v>0</v>
          </cell>
        </row>
        <row r="23">
          <cell r="D23" t="str">
            <v>51350100</v>
          </cell>
          <cell r="E23" t="str">
            <v>3PL배송비-보관비-분류창고임차료</v>
          </cell>
          <cell r="F23">
            <v>10593699</v>
          </cell>
        </row>
        <row r="24">
          <cell r="D24" t="str">
            <v>51350200</v>
          </cell>
          <cell r="E24" t="str">
            <v>3PL배송비-보관비-보관창고임차료</v>
          </cell>
          <cell r="F24">
            <v>92878951</v>
          </cell>
        </row>
        <row r="25">
          <cell r="B25" t="str">
            <v>32305</v>
          </cell>
          <cell r="C25" t="str">
            <v>KAM센터</v>
          </cell>
          <cell r="D25" t="str">
            <v>51600200</v>
          </cell>
          <cell r="E25" t="str">
            <v>3PL배송비-반품비-배송반품운송비</v>
          </cell>
          <cell r="F25">
            <v>2890000</v>
          </cell>
        </row>
        <row r="26">
          <cell r="B26" t="str">
            <v>32306</v>
          </cell>
          <cell r="C26" t="str">
            <v>수원반품센터</v>
          </cell>
          <cell r="D26" t="str">
            <v>51250100</v>
          </cell>
          <cell r="E26" t="str">
            <v>3PL배송비-센타하역비-전산관리직인건비</v>
          </cell>
          <cell r="F26">
            <v>8559071</v>
          </cell>
        </row>
        <row r="27">
          <cell r="D27" t="str">
            <v>51250200</v>
          </cell>
          <cell r="E27" t="str">
            <v>3PL배송비-센타하역비-하역고정직인건비</v>
          </cell>
          <cell r="F27">
            <v>6580218</v>
          </cell>
        </row>
        <row r="28">
          <cell r="D28" t="str">
            <v>51250300</v>
          </cell>
          <cell r="E28" t="str">
            <v>3PL배송비-센타하역비-하역임시직인건비</v>
          </cell>
          <cell r="F28">
            <v>4807225</v>
          </cell>
        </row>
        <row r="29">
          <cell r="D29" t="str">
            <v>51250400</v>
          </cell>
          <cell r="E29" t="str">
            <v>3PL배송비-센타하역비-지게차사용료</v>
          </cell>
          <cell r="F29">
            <v>1888094</v>
          </cell>
        </row>
        <row r="30">
          <cell r="D30" t="str">
            <v>51250600</v>
          </cell>
          <cell r="E30" t="str">
            <v>3PL배송비-센타하역비-물류소모품비</v>
          </cell>
          <cell r="F30">
            <v>583500</v>
          </cell>
        </row>
        <row r="31">
          <cell r="D31" t="str">
            <v>51300100</v>
          </cell>
          <cell r="E31" t="str">
            <v>3PL배송비-폐기운영비-폐기위탁비용</v>
          </cell>
          <cell r="F31">
            <v>25286120</v>
          </cell>
        </row>
        <row r="32">
          <cell r="D32" t="str">
            <v>51300200</v>
          </cell>
          <cell r="E32" t="str">
            <v>3PL배송비-폐기운영비-폐기인건비</v>
          </cell>
          <cell r="F32">
            <v>14757737</v>
          </cell>
        </row>
        <row r="33">
          <cell r="D33" t="str">
            <v>51300300</v>
          </cell>
          <cell r="E33" t="str">
            <v>3PL배송비-폐기운영비-폐기소모품비</v>
          </cell>
          <cell r="F33">
            <v>0</v>
          </cell>
        </row>
        <row r="34">
          <cell r="D34" t="str">
            <v>51350200</v>
          </cell>
          <cell r="E34" t="str">
            <v>3PL배송비-보관비-보관창고임차료</v>
          </cell>
          <cell r="F34">
            <v>5328350</v>
          </cell>
        </row>
        <row r="35">
          <cell r="D35" t="str">
            <v>51600100</v>
          </cell>
          <cell r="E35" t="str">
            <v>3PL배송비-반품비-간선반품운송비</v>
          </cell>
          <cell r="F35">
            <v>265000</v>
          </cell>
        </row>
        <row r="36">
          <cell r="B36" t="str">
            <v>32306</v>
          </cell>
          <cell r="C36" t="str">
            <v>수원반품센터</v>
          </cell>
          <cell r="D36" t="str">
            <v>51600200</v>
          </cell>
          <cell r="E36" t="str">
            <v>3PL배송비-반품비-배송반품운송비</v>
          </cell>
          <cell r="F36">
            <v>20450348</v>
          </cell>
        </row>
        <row r="37">
          <cell r="B37" t="str">
            <v>32307</v>
          </cell>
          <cell r="C37" t="str">
            <v>F/S수원파트</v>
          </cell>
          <cell r="D37" t="str">
            <v>51250700</v>
          </cell>
          <cell r="E37" t="str">
            <v>3PL배송비-센타하역비-물동량성과급</v>
          </cell>
          <cell r="F37">
            <v>40970157</v>
          </cell>
        </row>
        <row r="38">
          <cell r="B38" t="str">
            <v>32308</v>
          </cell>
          <cell r="C38" t="str">
            <v>여주배송센터</v>
          </cell>
          <cell r="D38" t="str">
            <v>51250100</v>
          </cell>
          <cell r="E38" t="str">
            <v>3PL배송비-센타하역비-전산관리직인건비</v>
          </cell>
          <cell r="F38">
            <v>0</v>
          </cell>
        </row>
        <row r="39">
          <cell r="D39" t="str">
            <v>51250200</v>
          </cell>
          <cell r="E39" t="str">
            <v>3PL배송비-센타하역비-하역고정직인건비</v>
          </cell>
          <cell r="F39">
            <v>0</v>
          </cell>
        </row>
        <row r="40">
          <cell r="D40" t="str">
            <v>51250400</v>
          </cell>
          <cell r="E40" t="str">
            <v>3PL배송비-센타하역비-지게차사용료</v>
          </cell>
          <cell r="F40">
            <v>0</v>
          </cell>
        </row>
        <row r="41">
          <cell r="D41" t="str">
            <v>51350100</v>
          </cell>
          <cell r="E41" t="str">
            <v>3PL배송비-보관비-분류창고임차료</v>
          </cell>
          <cell r="F41">
            <v>0</v>
          </cell>
        </row>
        <row r="42">
          <cell r="B42" t="str">
            <v>32308</v>
          </cell>
          <cell r="C42" t="str">
            <v>여주배송센터</v>
          </cell>
          <cell r="D42" t="str">
            <v>51350200</v>
          </cell>
          <cell r="E42" t="str">
            <v>3PL배송비-보관비-보관창고임차료</v>
          </cell>
          <cell r="F42">
            <v>0</v>
          </cell>
        </row>
        <row r="43">
          <cell r="B43" t="str">
            <v>32309</v>
          </cell>
          <cell r="C43" t="str">
            <v>용인물류파트</v>
          </cell>
          <cell r="D43" t="str">
            <v>51250100</v>
          </cell>
          <cell r="E43" t="str">
            <v>3PL배송비-센타하역비-전산관리직인건비</v>
          </cell>
          <cell r="F43">
            <v>0</v>
          </cell>
        </row>
        <row r="44">
          <cell r="D44" t="str">
            <v>51250200</v>
          </cell>
          <cell r="E44" t="str">
            <v>3PL배송비-센타하역비-하역고정직인건비</v>
          </cell>
          <cell r="F44">
            <v>0</v>
          </cell>
        </row>
        <row r="45">
          <cell r="D45" t="str">
            <v>51250300</v>
          </cell>
          <cell r="E45" t="str">
            <v>3PL배송비-센타하역비-하역임시직인건비</v>
          </cell>
          <cell r="F45">
            <v>0</v>
          </cell>
        </row>
        <row r="46">
          <cell r="D46" t="str">
            <v>51250400</v>
          </cell>
          <cell r="E46" t="str">
            <v>3PL배송비-센타하역비-지게차사용료</v>
          </cell>
          <cell r="F46">
            <v>0</v>
          </cell>
        </row>
        <row r="47">
          <cell r="D47" t="str">
            <v>51250600</v>
          </cell>
          <cell r="E47" t="str">
            <v>3PL배송비-센타하역비-물류소모품비</v>
          </cell>
          <cell r="F47">
            <v>0</v>
          </cell>
        </row>
        <row r="48">
          <cell r="D48" t="str">
            <v>51250700</v>
          </cell>
          <cell r="E48" t="str">
            <v>3PL배송비-센타하역비-물동량성과급</v>
          </cell>
          <cell r="F48">
            <v>0</v>
          </cell>
        </row>
        <row r="49">
          <cell r="D49" t="str">
            <v>51250800</v>
          </cell>
          <cell r="E49" t="str">
            <v>3PL배송비-센타하역비-타사파렛트렌탈료</v>
          </cell>
          <cell r="F49">
            <v>0</v>
          </cell>
        </row>
        <row r="50">
          <cell r="D50" t="str">
            <v>51251000</v>
          </cell>
          <cell r="E50" t="str">
            <v>3PL배송비-센타하역비-기타</v>
          </cell>
          <cell r="F50">
            <v>0</v>
          </cell>
        </row>
        <row r="51">
          <cell r="D51" t="str">
            <v>51350100</v>
          </cell>
          <cell r="E51" t="str">
            <v>3PL배송비-보관비-분류창고임차료</v>
          </cell>
          <cell r="F51">
            <v>0</v>
          </cell>
        </row>
        <row r="52">
          <cell r="D52" t="str">
            <v>51350200</v>
          </cell>
          <cell r="E52" t="str">
            <v>3PL배송비-보관비-보관창고임차료</v>
          </cell>
          <cell r="F52">
            <v>0</v>
          </cell>
        </row>
        <row r="53">
          <cell r="D53" t="str">
            <v>51450200</v>
          </cell>
          <cell r="E53" t="str">
            <v>3PL배송비-유통가공비-하역고정직인건비</v>
          </cell>
          <cell r="F53">
            <v>0</v>
          </cell>
        </row>
        <row r="54">
          <cell r="D54" t="str">
            <v>51450300</v>
          </cell>
          <cell r="E54" t="str">
            <v>3PL배송비-유통가공비-하역임시직인건비</v>
          </cell>
          <cell r="F54">
            <v>0</v>
          </cell>
        </row>
        <row r="55">
          <cell r="B55" t="str">
            <v>32309</v>
          </cell>
          <cell r="C55" t="str">
            <v>용인물류파트</v>
          </cell>
          <cell r="D55" t="str">
            <v>51450600</v>
          </cell>
          <cell r="E55" t="str">
            <v>3PL배송비-유통가공비-물류소모품비</v>
          </cell>
          <cell r="F55">
            <v>0</v>
          </cell>
        </row>
        <row r="56">
          <cell r="B56" t="str">
            <v>32310</v>
          </cell>
          <cell r="C56" t="str">
            <v>원주센터</v>
          </cell>
          <cell r="D56" t="str">
            <v>51250300</v>
          </cell>
          <cell r="E56" t="str">
            <v>3PL배송비-센타하역비-하역임시직인건비</v>
          </cell>
          <cell r="F56">
            <v>998850</v>
          </cell>
        </row>
        <row r="57">
          <cell r="D57" t="str">
            <v>51250600</v>
          </cell>
          <cell r="E57" t="str">
            <v>3PL배송비-센타하역비-물류소모품비</v>
          </cell>
          <cell r="F57">
            <v>204000</v>
          </cell>
        </row>
        <row r="58">
          <cell r="D58" t="str">
            <v>51250700</v>
          </cell>
          <cell r="E58" t="str">
            <v>3PL배송비-센타하역비-물동량성과급</v>
          </cell>
          <cell r="F58">
            <v>24129318</v>
          </cell>
        </row>
        <row r="59">
          <cell r="D59" t="str">
            <v>51250800</v>
          </cell>
          <cell r="E59" t="str">
            <v>3PL배송비-센타하역비-타사파렛트렌탈료</v>
          </cell>
          <cell r="F59">
            <v>0</v>
          </cell>
        </row>
        <row r="60">
          <cell r="D60" t="str">
            <v>51350100</v>
          </cell>
          <cell r="E60" t="str">
            <v>3PL배송비-보관비-분류창고임차료</v>
          </cell>
          <cell r="F60">
            <v>1570023</v>
          </cell>
        </row>
        <row r="61">
          <cell r="D61" t="str">
            <v>51350200</v>
          </cell>
          <cell r="E61" t="str">
            <v>3PL배송비-보관비-보관창고임차료</v>
          </cell>
          <cell r="F61">
            <v>21844977</v>
          </cell>
        </row>
        <row r="62">
          <cell r="B62" t="str">
            <v>32310</v>
          </cell>
          <cell r="C62" t="str">
            <v>원주센터</v>
          </cell>
          <cell r="D62" t="str">
            <v>51600200</v>
          </cell>
          <cell r="E62" t="str">
            <v>3PL배송비-반품비-배송반품운송비</v>
          </cell>
          <cell r="F62">
            <v>450000</v>
          </cell>
        </row>
        <row r="63">
          <cell r="B63" t="str">
            <v>32311</v>
          </cell>
          <cell r="C63" t="str">
            <v>강릉센타</v>
          </cell>
          <cell r="D63" t="str">
            <v>51250600</v>
          </cell>
          <cell r="E63" t="str">
            <v>3PL배송비-센타하역비-물류소모품비</v>
          </cell>
          <cell r="F63">
            <v>0</v>
          </cell>
        </row>
        <row r="64">
          <cell r="D64" t="str">
            <v>51250700</v>
          </cell>
          <cell r="E64" t="str">
            <v>3PL배송비-센타하역비-물동량성과급</v>
          </cell>
          <cell r="F64">
            <v>8400885</v>
          </cell>
        </row>
        <row r="65">
          <cell r="D65" t="str">
            <v>51250800</v>
          </cell>
          <cell r="E65" t="str">
            <v>3PL배송비-센타하역비-타사파렛트렌탈료</v>
          </cell>
          <cell r="F65">
            <v>0</v>
          </cell>
        </row>
        <row r="66">
          <cell r="D66" t="str">
            <v>51350100</v>
          </cell>
          <cell r="E66" t="str">
            <v>3PL배송비-보관비-분류창고임차료</v>
          </cell>
          <cell r="F66">
            <v>618918</v>
          </cell>
        </row>
        <row r="67">
          <cell r="B67" t="str">
            <v>32311</v>
          </cell>
          <cell r="C67" t="str">
            <v>강릉센타</v>
          </cell>
          <cell r="D67" t="str">
            <v>51350200</v>
          </cell>
          <cell r="E67" t="str">
            <v>3PL배송비-보관비-보관창고임차료</v>
          </cell>
          <cell r="F67">
            <v>2101082</v>
          </cell>
        </row>
        <row r="68">
          <cell r="B68" t="str">
            <v>32312</v>
          </cell>
          <cell r="C68" t="str">
            <v>대전물류파트</v>
          </cell>
          <cell r="D68" t="str">
            <v>51250600</v>
          </cell>
          <cell r="E68" t="str">
            <v>3PL배송비-센타하역비-물류소모품비</v>
          </cell>
          <cell r="F68">
            <v>4919818</v>
          </cell>
        </row>
        <row r="69">
          <cell r="D69" t="str">
            <v>51250700</v>
          </cell>
          <cell r="E69" t="str">
            <v>3PL배송비-센타하역비-물동량성과급</v>
          </cell>
          <cell r="F69">
            <v>79738490</v>
          </cell>
        </row>
        <row r="70">
          <cell r="D70" t="str">
            <v>51250800</v>
          </cell>
          <cell r="E70" t="str">
            <v>3PL배송비-센타하역비-타사파렛트렌탈료</v>
          </cell>
          <cell r="F70">
            <v>0</v>
          </cell>
        </row>
        <row r="71">
          <cell r="D71" t="str">
            <v>51350100</v>
          </cell>
          <cell r="E71" t="str">
            <v>3PL배송비-보관비-분류창고임차료</v>
          </cell>
          <cell r="F71">
            <v>5617907</v>
          </cell>
        </row>
        <row r="72">
          <cell r="D72" t="str">
            <v>51350200</v>
          </cell>
          <cell r="E72" t="str">
            <v>3PL배송비-보관비-보관창고임차료</v>
          </cell>
          <cell r="F72">
            <v>52972093</v>
          </cell>
        </row>
        <row r="73">
          <cell r="B73" t="str">
            <v>32312</v>
          </cell>
          <cell r="C73" t="str">
            <v>대전물류파트</v>
          </cell>
          <cell r="D73" t="str">
            <v>51600100</v>
          </cell>
          <cell r="E73" t="str">
            <v>3PL배송비-반품비-간선반품운송비</v>
          </cell>
          <cell r="F73">
            <v>865000</v>
          </cell>
        </row>
        <row r="74">
          <cell r="B74" t="str">
            <v>32313</v>
          </cell>
          <cell r="C74" t="str">
            <v>쥴릭대전센터</v>
          </cell>
          <cell r="D74" t="str">
            <v>51350200</v>
          </cell>
          <cell r="E74" t="str">
            <v>3PL배송비-보관비-보관창고임차료</v>
          </cell>
          <cell r="F74">
            <v>0</v>
          </cell>
        </row>
        <row r="75">
          <cell r="B75" t="str">
            <v>32314</v>
          </cell>
          <cell r="C75" t="str">
            <v>광주물류파트</v>
          </cell>
          <cell r="D75" t="str">
            <v>51250600</v>
          </cell>
          <cell r="E75" t="str">
            <v>3PL배송비-센타하역비-물류소모품비</v>
          </cell>
          <cell r="F75">
            <v>300000</v>
          </cell>
        </row>
        <row r="76">
          <cell r="D76" t="str">
            <v>51250700</v>
          </cell>
          <cell r="E76" t="str">
            <v>3PL배송비-센타하역비-물동량성과급</v>
          </cell>
          <cell r="F76">
            <v>71267100</v>
          </cell>
        </row>
        <row r="77">
          <cell r="D77" t="str">
            <v>51250800</v>
          </cell>
          <cell r="E77" t="str">
            <v>3PL배송비-센타하역비-타사파렛트렌탈료</v>
          </cell>
          <cell r="F77">
            <v>0</v>
          </cell>
        </row>
        <row r="78">
          <cell r="D78" t="str">
            <v>51350100</v>
          </cell>
          <cell r="E78" t="str">
            <v>3PL배송비-보관비-분류창고임차료</v>
          </cell>
          <cell r="F78">
            <v>6092010</v>
          </cell>
        </row>
        <row r="79">
          <cell r="D79" t="str">
            <v>51350200</v>
          </cell>
          <cell r="E79" t="str">
            <v>3PL배송비-보관비-보관창고임차료</v>
          </cell>
          <cell r="F79">
            <v>66771990</v>
          </cell>
        </row>
        <row r="80">
          <cell r="B80" t="str">
            <v>32314</v>
          </cell>
          <cell r="C80" t="str">
            <v>광주물류파트</v>
          </cell>
          <cell r="D80" t="str">
            <v>51600100</v>
          </cell>
          <cell r="E80" t="str">
            <v>3PL배송비-반품비-간선반품운송비</v>
          </cell>
          <cell r="F80">
            <v>540000</v>
          </cell>
        </row>
        <row r="81">
          <cell r="B81" t="str">
            <v>32315</v>
          </cell>
          <cell r="C81" t="str">
            <v>쥴릭광주센터</v>
          </cell>
          <cell r="D81" t="str">
            <v>51250100</v>
          </cell>
          <cell r="E81" t="str">
            <v>3PL배송비-센타하역비-전산관리직인건비</v>
          </cell>
          <cell r="F81">
            <v>1401686</v>
          </cell>
        </row>
        <row r="82">
          <cell r="D82" t="str">
            <v>51250200</v>
          </cell>
          <cell r="E82" t="str">
            <v>3PL배송비-센타하역비-하역고정직인건비</v>
          </cell>
          <cell r="F82">
            <v>1287773</v>
          </cell>
        </row>
        <row r="83">
          <cell r="D83" t="str">
            <v>51250300</v>
          </cell>
          <cell r="E83" t="str">
            <v>3PL배송비-센타하역비-하역임시직인건비</v>
          </cell>
          <cell r="F83">
            <v>0</v>
          </cell>
        </row>
        <row r="84">
          <cell r="B84" t="str">
            <v>32315</v>
          </cell>
          <cell r="C84" t="str">
            <v>쥴릭광주센터</v>
          </cell>
          <cell r="D84" t="str">
            <v>51350200</v>
          </cell>
          <cell r="E84" t="str">
            <v>3PL배송비-보관비-보관창고임차료</v>
          </cell>
          <cell r="F84">
            <v>2106000</v>
          </cell>
        </row>
        <row r="85">
          <cell r="B85" t="str">
            <v>32316</v>
          </cell>
          <cell r="C85" t="str">
            <v>F/S광주센터</v>
          </cell>
          <cell r="D85" t="str">
            <v>51250700</v>
          </cell>
          <cell r="E85" t="str">
            <v>3PL배송비-센타하역비-물동량성과급</v>
          </cell>
          <cell r="F85">
            <v>36005400</v>
          </cell>
        </row>
        <row r="86">
          <cell r="B86" t="str">
            <v>32316</v>
          </cell>
          <cell r="C86" t="str">
            <v>F/S광주센터</v>
          </cell>
          <cell r="D86" t="str">
            <v>51350200</v>
          </cell>
          <cell r="E86" t="str">
            <v>3PL배송비-보관비-보관창고임차료</v>
          </cell>
          <cell r="F86">
            <v>4860000</v>
          </cell>
        </row>
        <row r="87">
          <cell r="B87" t="str">
            <v>32318</v>
          </cell>
          <cell r="C87" t="str">
            <v>경산물류파트</v>
          </cell>
          <cell r="D87" t="str">
            <v>51250100</v>
          </cell>
          <cell r="E87" t="str">
            <v>3PL배송비-센타하역비-전산관리직인건비</v>
          </cell>
          <cell r="F87">
            <v>27050364</v>
          </cell>
        </row>
        <row r="88">
          <cell r="D88" t="str">
            <v>51250200</v>
          </cell>
          <cell r="E88" t="str">
            <v>3PL배송비-센타하역비-하역고정직인건비</v>
          </cell>
          <cell r="F88">
            <v>61913081</v>
          </cell>
        </row>
        <row r="89">
          <cell r="D89" t="str">
            <v>51250300</v>
          </cell>
          <cell r="E89" t="str">
            <v>3PL배송비-센타하역비-하역임시직인건비</v>
          </cell>
          <cell r="F89">
            <v>8233444</v>
          </cell>
        </row>
        <row r="90">
          <cell r="D90" t="str">
            <v>51250400</v>
          </cell>
          <cell r="E90" t="str">
            <v>3PL배송비-센타하역비-지게차사용료</v>
          </cell>
          <cell r="F90">
            <v>8215000</v>
          </cell>
        </row>
        <row r="91">
          <cell r="D91" t="str">
            <v>51250600</v>
          </cell>
          <cell r="E91" t="str">
            <v>3PL배송비-센타하역비-물류소모품비</v>
          </cell>
          <cell r="F91">
            <v>300000</v>
          </cell>
        </row>
        <row r="92">
          <cell r="D92" t="str">
            <v>51250800</v>
          </cell>
          <cell r="E92" t="str">
            <v>3PL배송비-센타하역비-타사파렛트렌탈료</v>
          </cell>
          <cell r="F92">
            <v>0</v>
          </cell>
        </row>
        <row r="93">
          <cell r="D93" t="str">
            <v>51350100</v>
          </cell>
          <cell r="E93" t="str">
            <v>3PL배송비-보관비-분류창고임차료</v>
          </cell>
          <cell r="F93">
            <v>0</v>
          </cell>
        </row>
        <row r="94">
          <cell r="B94" t="str">
            <v>32318</v>
          </cell>
          <cell r="C94" t="str">
            <v>경산물류파트</v>
          </cell>
          <cell r="D94" t="str">
            <v>51350200</v>
          </cell>
          <cell r="E94" t="str">
            <v>3PL배송비-보관비-보관창고임차료</v>
          </cell>
          <cell r="F94">
            <v>1805000</v>
          </cell>
        </row>
        <row r="95">
          <cell r="B95" t="str">
            <v>32319</v>
          </cell>
          <cell r="C95" t="str">
            <v>경산반품센터</v>
          </cell>
          <cell r="D95" t="str">
            <v>51300100</v>
          </cell>
          <cell r="E95" t="str">
            <v>3PL배송비-폐기운영비-폐기위탁비용</v>
          </cell>
          <cell r="F95">
            <v>14501000</v>
          </cell>
        </row>
        <row r="96">
          <cell r="B96" t="str">
            <v>32319</v>
          </cell>
          <cell r="C96" t="str">
            <v>경산반품센터</v>
          </cell>
          <cell r="D96" t="str">
            <v>51300200</v>
          </cell>
          <cell r="E96" t="str">
            <v>3PL배송비-폐기운영비-폐기인건비</v>
          </cell>
          <cell r="F96">
            <v>13240538</v>
          </cell>
        </row>
        <row r="97">
          <cell r="B97" t="str">
            <v>32322</v>
          </cell>
          <cell r="C97" t="str">
            <v>안동센터(폐쇄)</v>
          </cell>
          <cell r="D97" t="str">
            <v>51250800</v>
          </cell>
          <cell r="E97" t="str">
            <v>3PL배송비-센타하역비-타사파렛트렌탈료</v>
          </cell>
          <cell r="F97">
            <v>0</v>
          </cell>
        </row>
        <row r="98">
          <cell r="B98" t="str">
            <v>32323</v>
          </cell>
          <cell r="C98" t="str">
            <v>장림물류파트</v>
          </cell>
          <cell r="D98" t="str">
            <v>51250100</v>
          </cell>
          <cell r="E98" t="str">
            <v>3PL배송비-센타하역비-전산관리직인건비</v>
          </cell>
          <cell r="F98">
            <v>4283473</v>
          </cell>
        </row>
        <row r="99">
          <cell r="D99" t="str">
            <v>51250200</v>
          </cell>
          <cell r="E99" t="str">
            <v>3PL배송비-센타하역비-하역고정직인건비</v>
          </cell>
          <cell r="F99">
            <v>18985889</v>
          </cell>
        </row>
        <row r="100">
          <cell r="D100" t="str">
            <v>51250300</v>
          </cell>
          <cell r="E100" t="str">
            <v>3PL배송비-센타하역비-하역임시직인건비</v>
          </cell>
          <cell r="F100">
            <v>3785038</v>
          </cell>
        </row>
        <row r="101">
          <cell r="D101" t="str">
            <v>51250400</v>
          </cell>
          <cell r="E101" t="str">
            <v>3PL배송비-센타하역비-지게차사용료</v>
          </cell>
          <cell r="F101">
            <v>2180000</v>
          </cell>
        </row>
        <row r="102">
          <cell r="D102" t="str">
            <v>51250500</v>
          </cell>
          <cell r="E102" t="str">
            <v>3PL배송-하역-지게차유류대</v>
          </cell>
          <cell r="F102">
            <v>584184</v>
          </cell>
        </row>
        <row r="103">
          <cell r="D103" t="str">
            <v>51250600</v>
          </cell>
          <cell r="E103" t="str">
            <v>3PL배송비-센타하역비-물류소모품비</v>
          </cell>
          <cell r="F103">
            <v>1875200</v>
          </cell>
        </row>
        <row r="104">
          <cell r="D104" t="str">
            <v>51250700</v>
          </cell>
          <cell r="E104" t="str">
            <v>3PL배송비-센타하역비-물동량성과급</v>
          </cell>
          <cell r="F104">
            <v>81113107</v>
          </cell>
        </row>
        <row r="105">
          <cell r="D105" t="str">
            <v>51250800</v>
          </cell>
          <cell r="E105" t="str">
            <v>3PL배송비-센타하역비-타사파렛트렌탈료</v>
          </cell>
          <cell r="F105">
            <v>0</v>
          </cell>
        </row>
        <row r="106">
          <cell r="D106" t="str">
            <v>51251000</v>
          </cell>
          <cell r="E106" t="str">
            <v>3PL배송비-센타하역비-기타</v>
          </cell>
          <cell r="F106">
            <v>0</v>
          </cell>
        </row>
        <row r="107">
          <cell r="D107" t="str">
            <v>51350100</v>
          </cell>
          <cell r="E107" t="str">
            <v>3PL배송비-보관비-분류창고임차료</v>
          </cell>
          <cell r="F107">
            <v>2874200</v>
          </cell>
        </row>
        <row r="108">
          <cell r="D108" t="str">
            <v>51350200</v>
          </cell>
          <cell r="E108" t="str">
            <v>3PL배송비-보관비-보관창고임차료</v>
          </cell>
          <cell r="F108">
            <v>38185800</v>
          </cell>
        </row>
        <row r="109">
          <cell r="B109" t="str">
            <v>32323</v>
          </cell>
          <cell r="C109" t="str">
            <v>장림물류파트</v>
          </cell>
          <cell r="D109" t="str">
            <v>51600100</v>
          </cell>
          <cell r="E109" t="str">
            <v>3PL배송비-반품비-간선반품운송비</v>
          </cell>
          <cell r="F109">
            <v>1064000</v>
          </cell>
        </row>
        <row r="110">
          <cell r="B110" t="str">
            <v>32324</v>
          </cell>
          <cell r="C110" t="str">
            <v>부산센터</v>
          </cell>
          <cell r="D110" t="str">
            <v>51250600</v>
          </cell>
          <cell r="E110" t="str">
            <v>3PL배송비-센타하역비-물류소모품비</v>
          </cell>
          <cell r="F110">
            <v>54000</v>
          </cell>
        </row>
        <row r="111">
          <cell r="D111" t="str">
            <v>51250700</v>
          </cell>
          <cell r="E111" t="str">
            <v>3PL배송비-센타하역비-물동량성과급</v>
          </cell>
          <cell r="F111">
            <v>11354392</v>
          </cell>
        </row>
        <row r="112">
          <cell r="D112" t="str">
            <v>51250800</v>
          </cell>
          <cell r="E112" t="str">
            <v>3PL배송비-센타하역비-타사파렛트렌탈료</v>
          </cell>
          <cell r="F112">
            <v>0</v>
          </cell>
        </row>
        <row r="113">
          <cell r="D113" t="str">
            <v>51350100</v>
          </cell>
          <cell r="E113" t="str">
            <v>3PL배송비-보관비-분류창고임차료</v>
          </cell>
          <cell r="F113">
            <v>6150000</v>
          </cell>
        </row>
        <row r="114">
          <cell r="B114" t="str">
            <v>32324</v>
          </cell>
          <cell r="C114" t="str">
            <v>부산센터</v>
          </cell>
          <cell r="D114" t="str">
            <v>51350200</v>
          </cell>
          <cell r="E114" t="str">
            <v>3PL배송비-보관비-보관창고임차료</v>
          </cell>
          <cell r="F114">
            <v>8850000</v>
          </cell>
        </row>
        <row r="115">
          <cell r="B115" t="str">
            <v>32325</v>
          </cell>
          <cell r="C115" t="str">
            <v>쥴릭장림센터</v>
          </cell>
          <cell r="D115" t="str">
            <v>51250100</v>
          </cell>
          <cell r="E115" t="str">
            <v>3PL배송비-센타하역비-전산관리직인건비</v>
          </cell>
          <cell r="F115">
            <v>2865462</v>
          </cell>
        </row>
        <row r="116">
          <cell r="B116" t="str">
            <v>32325</v>
          </cell>
          <cell r="C116" t="str">
            <v>쥴릭장림센터</v>
          </cell>
          <cell r="D116" t="str">
            <v>51350200</v>
          </cell>
          <cell r="E116" t="str">
            <v>3PL배송비-보관비-보관창고임차료</v>
          </cell>
          <cell r="F116">
            <v>2040000</v>
          </cell>
        </row>
        <row r="117">
          <cell r="B117" t="str">
            <v>32326</v>
          </cell>
          <cell r="C117" t="str">
            <v>함안물류파트</v>
          </cell>
          <cell r="D117" t="str">
            <v>51250100</v>
          </cell>
          <cell r="E117" t="str">
            <v>3PL배송비-센타하역비-전산관리직인건비</v>
          </cell>
          <cell r="F117">
            <v>1767768</v>
          </cell>
        </row>
        <row r="118">
          <cell r="D118" t="str">
            <v>51250200</v>
          </cell>
          <cell r="E118" t="str">
            <v>3PL배송비-센타하역비-하역고정직인건비</v>
          </cell>
          <cell r="F118">
            <v>7424513</v>
          </cell>
        </row>
        <row r="119">
          <cell r="D119" t="str">
            <v>51250300</v>
          </cell>
          <cell r="E119" t="str">
            <v>3PL배송비-센타하역비-하역임시직인건비</v>
          </cell>
          <cell r="F119">
            <v>163635</v>
          </cell>
        </row>
        <row r="120">
          <cell r="D120" t="str">
            <v>51250400</v>
          </cell>
          <cell r="E120" t="str">
            <v>3PL배송비-센타하역비-지게차사용료</v>
          </cell>
          <cell r="F120">
            <v>680000</v>
          </cell>
        </row>
        <row r="121">
          <cell r="D121" t="str">
            <v>51250600</v>
          </cell>
          <cell r="E121" t="str">
            <v>3PL배송비-센타하역비-물류소모품비</v>
          </cell>
          <cell r="F121">
            <v>0</v>
          </cell>
        </row>
        <row r="122">
          <cell r="D122" t="str">
            <v>51250700</v>
          </cell>
          <cell r="E122" t="str">
            <v>3PL배송비-센타하역비-물동량성과급</v>
          </cell>
          <cell r="F122">
            <v>51693754</v>
          </cell>
        </row>
        <row r="123">
          <cell r="D123" t="str">
            <v>51250800</v>
          </cell>
          <cell r="E123" t="str">
            <v>3PL배송비-센타하역비-타사파렛트렌탈료</v>
          </cell>
          <cell r="F123">
            <v>0</v>
          </cell>
        </row>
        <row r="124">
          <cell r="D124" t="str">
            <v>51251000</v>
          </cell>
          <cell r="E124" t="str">
            <v>3PL배송비-센타하역비-기타</v>
          </cell>
          <cell r="F124">
            <v>2718300</v>
          </cell>
        </row>
        <row r="125">
          <cell r="D125" t="str">
            <v>51350100</v>
          </cell>
          <cell r="E125" t="str">
            <v>3PL배송비-보관비-분류창고임차료</v>
          </cell>
          <cell r="F125">
            <v>904275</v>
          </cell>
        </row>
        <row r="126">
          <cell r="D126" t="str">
            <v>51350200</v>
          </cell>
          <cell r="E126" t="str">
            <v>3PL배송비-보관비-보관창고임차료</v>
          </cell>
          <cell r="F126">
            <v>17181225</v>
          </cell>
        </row>
        <row r="127">
          <cell r="D127" t="str">
            <v>51600100</v>
          </cell>
          <cell r="E127" t="str">
            <v>3PL배송비-반품비-간선반품운송비</v>
          </cell>
          <cell r="F127">
            <v>4152700</v>
          </cell>
        </row>
        <row r="128">
          <cell r="B128" t="str">
            <v>32326</v>
          </cell>
          <cell r="C128" t="str">
            <v>함안물류파트</v>
          </cell>
          <cell r="D128" t="str">
            <v>51600200</v>
          </cell>
          <cell r="E128" t="str">
            <v>3PL배송비-반품비-배송반품운송비</v>
          </cell>
          <cell r="F128">
            <v>1393400</v>
          </cell>
        </row>
        <row r="129">
          <cell r="B129" t="str">
            <v>32327</v>
          </cell>
          <cell r="C129" t="str">
            <v>농협센터</v>
          </cell>
          <cell r="D129" t="str">
            <v>51250700</v>
          </cell>
          <cell r="E129" t="str">
            <v>3PL배송비-센타하역비-물동량성과급</v>
          </cell>
          <cell r="F129">
            <v>53191804</v>
          </cell>
        </row>
        <row r="130">
          <cell r="D130" t="str">
            <v>51251000</v>
          </cell>
          <cell r="E130" t="str">
            <v>3PL배송비-센타하역비-기타</v>
          </cell>
          <cell r="F130">
            <v>919000</v>
          </cell>
        </row>
        <row r="131">
          <cell r="B131" t="str">
            <v>32327</v>
          </cell>
          <cell r="C131" t="str">
            <v>농협센터</v>
          </cell>
          <cell r="D131" t="str">
            <v>51350200</v>
          </cell>
          <cell r="E131" t="str">
            <v>3PL배송비-보관비-보관창고임차료</v>
          </cell>
          <cell r="F131">
            <v>25816500</v>
          </cell>
        </row>
        <row r="132">
          <cell r="B132" t="str">
            <v>32328</v>
          </cell>
          <cell r="C132" t="str">
            <v>제주센터</v>
          </cell>
          <cell r="D132" t="str">
            <v>51250100</v>
          </cell>
          <cell r="E132" t="str">
            <v>3PL배송비-센타하역비-전산관리직인건비</v>
          </cell>
          <cell r="F132">
            <v>1648230</v>
          </cell>
        </row>
        <row r="133">
          <cell r="D133" t="str">
            <v>51250600</v>
          </cell>
          <cell r="E133" t="str">
            <v>3PL배송비-센타하역비-물류소모품비</v>
          </cell>
          <cell r="F133">
            <v>857000</v>
          </cell>
        </row>
        <row r="134">
          <cell r="D134" t="str">
            <v>51250700</v>
          </cell>
          <cell r="E134" t="str">
            <v>3PL배송비-센타하역비-물동량성과급</v>
          </cell>
          <cell r="F134">
            <v>17251872</v>
          </cell>
        </row>
        <row r="135">
          <cell r="D135" t="str">
            <v>51250800</v>
          </cell>
          <cell r="E135" t="str">
            <v>3PL배송비-센타하역비-타사파렛트렌탈료</v>
          </cell>
          <cell r="F135">
            <v>0</v>
          </cell>
        </row>
        <row r="136">
          <cell r="D136" t="str">
            <v>51350200</v>
          </cell>
          <cell r="E136" t="str">
            <v>3PL배송비-보관비-보관창고임차료</v>
          </cell>
          <cell r="F136">
            <v>15934000</v>
          </cell>
        </row>
        <row r="137">
          <cell r="B137" t="str">
            <v>32328</v>
          </cell>
          <cell r="C137" t="str">
            <v>제주센터</v>
          </cell>
          <cell r="D137" t="str">
            <v>51600100</v>
          </cell>
          <cell r="E137" t="str">
            <v>3PL배송비-반품비-간선반품운송비</v>
          </cell>
          <cell r="F137">
            <v>61600</v>
          </cell>
        </row>
        <row r="138">
          <cell r="B138" t="str">
            <v>32329</v>
          </cell>
          <cell r="C138" t="str">
            <v>목우촌성수센터</v>
          </cell>
          <cell r="D138" t="str">
            <v>51250100</v>
          </cell>
          <cell r="E138" t="str">
            <v>3PL배송비-센타하역비-전산관리직인건비</v>
          </cell>
          <cell r="F138">
            <v>12230258</v>
          </cell>
        </row>
        <row r="139">
          <cell r="D139" t="str">
            <v>51250200</v>
          </cell>
          <cell r="E139" t="str">
            <v>3PL배송비-센타하역비-하역고정직인건비</v>
          </cell>
          <cell r="F139">
            <v>17574395</v>
          </cell>
        </row>
        <row r="140">
          <cell r="D140" t="str">
            <v>51250400</v>
          </cell>
          <cell r="E140" t="str">
            <v>3PL배송비-센타하역비-지게차사용료</v>
          </cell>
          <cell r="F140">
            <v>2000000</v>
          </cell>
        </row>
        <row r="141">
          <cell r="D141" t="str">
            <v>51250600</v>
          </cell>
          <cell r="E141" t="str">
            <v>3PL배송비-센타하역비-물류소모품비</v>
          </cell>
          <cell r="F141">
            <v>835000</v>
          </cell>
        </row>
        <row r="142">
          <cell r="B142" t="str">
            <v>32329</v>
          </cell>
          <cell r="C142" t="str">
            <v>목우촌성수센터</v>
          </cell>
          <cell r="D142" t="str">
            <v>51250700</v>
          </cell>
          <cell r="E142" t="str">
            <v>3PL배송비-센타하역비-물동량성과급</v>
          </cell>
          <cell r="F142">
            <v>0</v>
          </cell>
        </row>
        <row r="143">
          <cell r="B143" t="str">
            <v>32330</v>
          </cell>
          <cell r="C143" t="str">
            <v>고촌센터</v>
          </cell>
          <cell r="D143" t="str">
            <v>51250600</v>
          </cell>
          <cell r="E143" t="str">
            <v>3PL배송비-센타하역비-물류소모품비</v>
          </cell>
          <cell r="F143">
            <v>12137400</v>
          </cell>
        </row>
        <row r="144">
          <cell r="D144" t="str">
            <v>51250700</v>
          </cell>
          <cell r="E144" t="str">
            <v>3PL배송비-센타하역비-물동량성과급</v>
          </cell>
          <cell r="F144">
            <v>84291178</v>
          </cell>
        </row>
        <row r="145">
          <cell r="D145" t="str">
            <v>51250800</v>
          </cell>
          <cell r="E145" t="str">
            <v>3PL배송비-센타하역비-타사파렛트렌탈료</v>
          </cell>
          <cell r="F145">
            <v>0</v>
          </cell>
        </row>
        <row r="146">
          <cell r="D146" t="str">
            <v>51350100</v>
          </cell>
          <cell r="E146" t="str">
            <v>3PL배송비-보관비-분류창고임차료</v>
          </cell>
          <cell r="F146">
            <v>0</v>
          </cell>
        </row>
        <row r="147">
          <cell r="B147" t="str">
            <v>32330</v>
          </cell>
          <cell r="C147" t="str">
            <v>고촌센터</v>
          </cell>
          <cell r="D147" t="str">
            <v>51350200</v>
          </cell>
          <cell r="E147" t="str">
            <v>3PL배송비-보관비-보관창고임차료</v>
          </cell>
          <cell r="F147">
            <v>0</v>
          </cell>
        </row>
        <row r="148">
          <cell r="B148" t="str">
            <v>32331</v>
          </cell>
          <cell r="C148" t="str">
            <v>동아오산센터</v>
          </cell>
          <cell r="D148" t="str">
            <v>51250100</v>
          </cell>
          <cell r="E148" t="str">
            <v>3PL배송비-센타하역비-전산관리직인건비</v>
          </cell>
          <cell r="F148">
            <v>3862276</v>
          </cell>
        </row>
        <row r="149">
          <cell r="D149" t="str">
            <v>51250200</v>
          </cell>
          <cell r="E149" t="str">
            <v>3PL배송비-센타하역비-하역고정직인건비</v>
          </cell>
          <cell r="F149">
            <v>11219712</v>
          </cell>
        </row>
        <row r="150">
          <cell r="D150" t="str">
            <v>51250300</v>
          </cell>
          <cell r="E150" t="str">
            <v>3PL배송비-센타하역비-하역임시직인건비</v>
          </cell>
          <cell r="F150">
            <v>1055310</v>
          </cell>
        </row>
        <row r="151">
          <cell r="D151" t="str">
            <v>51250400</v>
          </cell>
          <cell r="E151" t="str">
            <v>3PL배송비-센타하역비-지게차사용료</v>
          </cell>
          <cell r="F151">
            <v>2000000</v>
          </cell>
        </row>
        <row r="152">
          <cell r="D152" t="str">
            <v>51250600</v>
          </cell>
          <cell r="E152" t="str">
            <v>3PL배송비-센타하역비-물류소모품비</v>
          </cell>
          <cell r="F152">
            <v>0</v>
          </cell>
        </row>
        <row r="153">
          <cell r="B153" t="str">
            <v>32331</v>
          </cell>
          <cell r="C153" t="str">
            <v>동아오산센터</v>
          </cell>
          <cell r="D153" t="str">
            <v>51250700</v>
          </cell>
          <cell r="E153" t="str">
            <v>3PL배송비-센타하역비-물동량성과급</v>
          </cell>
          <cell r="F153">
            <v>0</v>
          </cell>
        </row>
        <row r="154">
          <cell r="B154" t="str">
            <v>32332</v>
          </cell>
          <cell r="C154" t="str">
            <v>쥴릭오산센터</v>
          </cell>
          <cell r="D154" t="str">
            <v>51250100</v>
          </cell>
          <cell r="E154" t="str">
            <v>3PL배송비-센타하역비-전산관리직인건비</v>
          </cell>
          <cell r="F154">
            <v>3666806</v>
          </cell>
        </row>
        <row r="155">
          <cell r="D155" t="str">
            <v>51250200</v>
          </cell>
          <cell r="E155" t="str">
            <v>3PL배송비-센타하역비-하역고정직인건비</v>
          </cell>
          <cell r="F155">
            <v>13731417</v>
          </cell>
        </row>
        <row r="156">
          <cell r="D156" t="str">
            <v>51250300</v>
          </cell>
          <cell r="E156" t="str">
            <v>3PL배송비-센타하역비-하역임시직인건비</v>
          </cell>
          <cell r="F156">
            <v>539100</v>
          </cell>
        </row>
        <row r="157">
          <cell r="B157" t="str">
            <v>32332</v>
          </cell>
          <cell r="C157" t="str">
            <v>쥴릭오산센터</v>
          </cell>
          <cell r="D157" t="str">
            <v>51250600</v>
          </cell>
          <cell r="E157" t="str">
            <v>3PL배송비-센타하역비-물류소모품비</v>
          </cell>
          <cell r="F157">
            <v>540000</v>
          </cell>
        </row>
        <row r="158">
          <cell r="B158" t="str">
            <v>32333</v>
          </cell>
          <cell r="C158" t="str">
            <v>F/S인천센터</v>
          </cell>
          <cell r="D158" t="str">
            <v>51250700</v>
          </cell>
          <cell r="E158" t="str">
            <v>3PL배송비-센타하역비-물동량성과급</v>
          </cell>
          <cell r="F158">
            <v>40469842</v>
          </cell>
        </row>
        <row r="159">
          <cell r="B159" t="str">
            <v>32334</v>
          </cell>
          <cell r="C159" t="str">
            <v>화승양지센터</v>
          </cell>
          <cell r="D159" t="str">
            <v>51250400</v>
          </cell>
          <cell r="E159" t="str">
            <v>3PL배송비-센타하역비-지게차사용료</v>
          </cell>
          <cell r="F159">
            <v>0</v>
          </cell>
        </row>
        <row r="160">
          <cell r="D160" t="str">
            <v>51350200</v>
          </cell>
          <cell r="E160" t="str">
            <v>3PL배송비-보관비-보관창고임차료</v>
          </cell>
          <cell r="F160">
            <v>60761562</v>
          </cell>
        </row>
        <row r="161">
          <cell r="D161" t="str">
            <v>51450100</v>
          </cell>
          <cell r="E161" t="str">
            <v>3PL배송비-유통가공비-전산관리직인건비</v>
          </cell>
          <cell r="F161">
            <v>11978615</v>
          </cell>
        </row>
        <row r="162">
          <cell r="D162" t="str">
            <v>51450200</v>
          </cell>
          <cell r="E162" t="str">
            <v>3PL배송비-유통가공비-하역고정직인건비</v>
          </cell>
          <cell r="F162">
            <v>53197264</v>
          </cell>
        </row>
        <row r="163">
          <cell r="D163" t="str">
            <v>51450300</v>
          </cell>
          <cell r="E163" t="str">
            <v>3PL배송비-유통가공비-하역임시직인건비</v>
          </cell>
          <cell r="F163">
            <v>24096540</v>
          </cell>
        </row>
        <row r="164">
          <cell r="D164" t="str">
            <v>51450400</v>
          </cell>
          <cell r="E164" t="str">
            <v>3PL배송비-유통가공비-지게차사용료</v>
          </cell>
          <cell r="F164">
            <v>3720000</v>
          </cell>
        </row>
        <row r="165">
          <cell r="D165" t="str">
            <v>51450600</v>
          </cell>
          <cell r="E165" t="str">
            <v>3PL배송비-유통가공비-물류소모품비</v>
          </cell>
          <cell r="F165">
            <v>1463000</v>
          </cell>
        </row>
        <row r="166">
          <cell r="B166" t="str">
            <v>32334</v>
          </cell>
          <cell r="C166" t="str">
            <v>화승양지센터</v>
          </cell>
          <cell r="D166" t="str">
            <v>51600100</v>
          </cell>
          <cell r="E166" t="str">
            <v>3PL배송비-반품비-간선반품운송비</v>
          </cell>
          <cell r="F166">
            <v>950000</v>
          </cell>
        </row>
        <row r="167">
          <cell r="B167" t="str">
            <v>32335</v>
          </cell>
          <cell r="C167" t="str">
            <v>김포유통가공센터</v>
          </cell>
          <cell r="D167" t="str">
            <v>51250400</v>
          </cell>
          <cell r="E167" t="str">
            <v>3PL배송비-센타하역비-지게차사용료</v>
          </cell>
          <cell r="F167">
            <v>276904</v>
          </cell>
        </row>
        <row r="168">
          <cell r="D168" t="str">
            <v>51250800</v>
          </cell>
          <cell r="E168" t="str">
            <v>3PL배송비-센타하역비-타사파렛트렌탈료</v>
          </cell>
          <cell r="F168">
            <v>0</v>
          </cell>
        </row>
        <row r="169">
          <cell r="D169" t="str">
            <v>51450100</v>
          </cell>
          <cell r="E169" t="str">
            <v>3PL배송비-유통가공비-전산관리직인건비</v>
          </cell>
          <cell r="F169">
            <v>12608065</v>
          </cell>
        </row>
        <row r="170">
          <cell r="D170" t="str">
            <v>51450200</v>
          </cell>
          <cell r="E170" t="str">
            <v>3PL배송비-유통가공비-하역고정직인건비</v>
          </cell>
          <cell r="F170">
            <v>12314094</v>
          </cell>
        </row>
        <row r="171">
          <cell r="D171" t="str">
            <v>51450300</v>
          </cell>
          <cell r="E171" t="str">
            <v>3PL배송비-유통가공비-하역임시직인건비</v>
          </cell>
          <cell r="F171">
            <v>50733390</v>
          </cell>
        </row>
        <row r="172">
          <cell r="D172" t="str">
            <v>51450400</v>
          </cell>
          <cell r="E172" t="str">
            <v>3PL배송비-유통가공비-지게차사용료</v>
          </cell>
          <cell r="F172">
            <v>3290000</v>
          </cell>
        </row>
        <row r="173">
          <cell r="B173" t="str">
            <v>32335</v>
          </cell>
          <cell r="C173" t="str">
            <v>김포유통가공센터</v>
          </cell>
          <cell r="D173" t="str">
            <v>51450600</v>
          </cell>
          <cell r="E173" t="str">
            <v>3PL배송비-유통가공비-물류소모품비</v>
          </cell>
          <cell r="F173">
            <v>4350591</v>
          </cell>
        </row>
        <row r="174">
          <cell r="B174" t="str">
            <v>32336</v>
          </cell>
          <cell r="C174" t="str">
            <v>신성용인센터</v>
          </cell>
          <cell r="D174" t="str">
            <v>51250400</v>
          </cell>
          <cell r="E174" t="str">
            <v>3PL배송비-센타하역비-지게차사용료</v>
          </cell>
          <cell r="F174">
            <v>1500000</v>
          </cell>
        </row>
        <row r="175">
          <cell r="D175" t="str">
            <v>51251000</v>
          </cell>
          <cell r="E175" t="str">
            <v>3PL배송비-센타하역비-기타</v>
          </cell>
          <cell r="F175">
            <v>67815900</v>
          </cell>
        </row>
        <row r="176">
          <cell r="D176" t="str">
            <v>51350200</v>
          </cell>
          <cell r="E176" t="str">
            <v>3PL배송비-보관비-보관창고임차료</v>
          </cell>
          <cell r="F176">
            <v>51177202</v>
          </cell>
        </row>
        <row r="177">
          <cell r="B177" t="str">
            <v>32336</v>
          </cell>
          <cell r="C177" t="str">
            <v>신성용인센터</v>
          </cell>
          <cell r="D177" t="str">
            <v>51600100</v>
          </cell>
          <cell r="E177" t="str">
            <v>3PL배송비-반품비-간선반품운송비</v>
          </cell>
          <cell r="F177">
            <v>0</v>
          </cell>
        </row>
        <row r="178">
          <cell r="B178" t="str">
            <v>32337</v>
          </cell>
          <cell r="C178" t="str">
            <v>부곡센터</v>
          </cell>
          <cell r="D178" t="str">
            <v>51250100</v>
          </cell>
          <cell r="E178" t="str">
            <v>3PL배송비-센타하역비-전산관리직인건비</v>
          </cell>
          <cell r="F178">
            <v>3491653</v>
          </cell>
        </row>
        <row r="179">
          <cell r="D179" t="str">
            <v>51250200</v>
          </cell>
          <cell r="E179" t="str">
            <v>3PL배송비-센타하역비-하역고정직인건비</v>
          </cell>
          <cell r="F179">
            <v>8413046</v>
          </cell>
        </row>
        <row r="180">
          <cell r="D180" t="str">
            <v>51250300</v>
          </cell>
          <cell r="E180" t="str">
            <v>3PL배송비-센타하역비-하역임시직인건비</v>
          </cell>
          <cell r="F180">
            <v>652500</v>
          </cell>
        </row>
        <row r="181">
          <cell r="D181" t="str">
            <v>51250400</v>
          </cell>
          <cell r="E181" t="str">
            <v>3PL배송비-센타하역비-지게차사용료</v>
          </cell>
          <cell r="F181">
            <v>0</v>
          </cell>
        </row>
        <row r="182">
          <cell r="D182" t="str">
            <v>51250600</v>
          </cell>
          <cell r="E182" t="str">
            <v>3PL배송비-센타하역비-물류소모품비</v>
          </cell>
          <cell r="F182">
            <v>0</v>
          </cell>
        </row>
        <row r="183">
          <cell r="D183" t="str">
            <v>51250800</v>
          </cell>
          <cell r="E183" t="str">
            <v>3PL배송비-센타하역비-타사파렛트렌탈료</v>
          </cell>
          <cell r="F183">
            <v>0</v>
          </cell>
        </row>
        <row r="184">
          <cell r="D184" t="str">
            <v>51251000</v>
          </cell>
          <cell r="E184" t="str">
            <v>3PL배송비-센타하역비-기타</v>
          </cell>
          <cell r="F184">
            <v>0</v>
          </cell>
        </row>
        <row r="185">
          <cell r="B185" t="str">
            <v>32337</v>
          </cell>
          <cell r="C185" t="str">
            <v>부곡센터</v>
          </cell>
          <cell r="D185" t="str">
            <v>51350200</v>
          </cell>
          <cell r="E185" t="str">
            <v>3PL배송비-보관비-보관창고임차료</v>
          </cell>
          <cell r="F185">
            <v>29312649</v>
          </cell>
        </row>
        <row r="186">
          <cell r="B186" t="str">
            <v>32338</v>
          </cell>
          <cell r="C186" t="str">
            <v>F/S양산센터</v>
          </cell>
          <cell r="D186" t="str">
            <v>51250700</v>
          </cell>
          <cell r="E186" t="str">
            <v>3PL배송비-센타하역비-물동량성과급</v>
          </cell>
          <cell r="F186">
            <v>40893578</v>
          </cell>
        </row>
        <row r="187">
          <cell r="B187" t="str">
            <v>32339</v>
          </cell>
          <cell r="C187" t="str">
            <v>양지물류파트</v>
          </cell>
          <cell r="D187" t="str">
            <v>51250100</v>
          </cell>
          <cell r="E187" t="str">
            <v>3PL배송비-센타하역비-전산관리직인건비</v>
          </cell>
          <cell r="F187">
            <v>24529184</v>
          </cell>
        </row>
        <row r="188">
          <cell r="D188" t="str">
            <v>51250200</v>
          </cell>
          <cell r="E188" t="str">
            <v>3PL배송비-센타하역비-하역고정직인건비</v>
          </cell>
          <cell r="F188">
            <v>42257452</v>
          </cell>
        </row>
        <row r="189">
          <cell r="D189" t="str">
            <v>51250300</v>
          </cell>
          <cell r="E189" t="str">
            <v>3PL배송비-센타하역비-하역임시직인건비</v>
          </cell>
          <cell r="F189">
            <v>33635500</v>
          </cell>
        </row>
        <row r="190">
          <cell r="D190" t="str">
            <v>51250400</v>
          </cell>
          <cell r="E190" t="str">
            <v>3PL배송비-센타하역비-지게차사용료</v>
          </cell>
          <cell r="F190">
            <v>8060000</v>
          </cell>
        </row>
        <row r="191">
          <cell r="D191" t="str">
            <v>51250600</v>
          </cell>
          <cell r="E191" t="str">
            <v>3PL배송비-센타하역비-물류소모품비</v>
          </cell>
          <cell r="F191">
            <v>2099500</v>
          </cell>
        </row>
        <row r="192">
          <cell r="D192" t="str">
            <v>51250700</v>
          </cell>
          <cell r="E192" t="str">
            <v>3PL배송비-센타하역비-물동량성과급</v>
          </cell>
          <cell r="F192">
            <v>0</v>
          </cell>
        </row>
        <row r="193">
          <cell r="D193" t="str">
            <v>51250800</v>
          </cell>
          <cell r="E193" t="str">
            <v>3PL배송비-센타하역비-타사파렛트렌탈료</v>
          </cell>
          <cell r="F193">
            <v>4170834</v>
          </cell>
        </row>
        <row r="194">
          <cell r="D194" t="str">
            <v>51350100</v>
          </cell>
          <cell r="E194" t="str">
            <v>3PL배송비-보관비-분류창고임차료</v>
          </cell>
          <cell r="F194">
            <v>6369639</v>
          </cell>
        </row>
        <row r="195">
          <cell r="D195" t="str">
            <v>51350200</v>
          </cell>
          <cell r="E195" t="str">
            <v>3PL배송비-보관비-보관창고임차료</v>
          </cell>
          <cell r="F195">
            <v>101630361</v>
          </cell>
        </row>
        <row r="196">
          <cell r="D196" t="str">
            <v>51450100</v>
          </cell>
          <cell r="E196" t="str">
            <v>3PL배송비-유통가공비-전산관리직인건비</v>
          </cell>
          <cell r="F196">
            <v>3637602</v>
          </cell>
        </row>
        <row r="197">
          <cell r="D197" t="str">
            <v>51450200</v>
          </cell>
          <cell r="E197" t="str">
            <v>3PL배송비-유통가공비-하역고정직인건비</v>
          </cell>
          <cell r="F197">
            <v>18839474</v>
          </cell>
        </row>
        <row r="198">
          <cell r="D198" t="str">
            <v>51450300</v>
          </cell>
          <cell r="E198" t="str">
            <v>3PL배송비-유통가공비-하역임시직인건비</v>
          </cell>
          <cell r="F198">
            <v>8035690</v>
          </cell>
        </row>
        <row r="199">
          <cell r="D199" t="str">
            <v>51450400</v>
          </cell>
          <cell r="E199" t="str">
            <v>3PL배송비-유통가공비-지게차사용료</v>
          </cell>
          <cell r="F199">
            <v>675000</v>
          </cell>
        </row>
        <row r="200">
          <cell r="D200" t="str">
            <v>51450600</v>
          </cell>
          <cell r="E200" t="str">
            <v>3PL배송비-유통가공비-물류소모품비</v>
          </cell>
          <cell r="F200">
            <v>3508000</v>
          </cell>
        </row>
        <row r="201">
          <cell r="D201" t="str">
            <v>51450800</v>
          </cell>
          <cell r="E201" t="str">
            <v>3PL배송비-유통가공비-외주가공비</v>
          </cell>
          <cell r="F201">
            <v>0</v>
          </cell>
        </row>
        <row r="202">
          <cell r="D202" t="str">
            <v>51459900</v>
          </cell>
          <cell r="E202" t="str">
            <v>3PL배송비-유통가공비-기타</v>
          </cell>
          <cell r="F202">
            <v>0</v>
          </cell>
        </row>
        <row r="203">
          <cell r="B203" t="str">
            <v>32339</v>
          </cell>
          <cell r="C203" t="str">
            <v>양지물류파트</v>
          </cell>
          <cell r="D203" t="str">
            <v>51600100</v>
          </cell>
          <cell r="E203" t="str">
            <v>3PL배송비-반품비-간선반품운송비</v>
          </cell>
          <cell r="F203">
            <v>3326100</v>
          </cell>
        </row>
        <row r="204">
          <cell r="B204" t="str">
            <v>32340</v>
          </cell>
          <cell r="C204" t="str">
            <v>냉동배송센터</v>
          </cell>
          <cell r="D204" t="str">
            <v>51250100</v>
          </cell>
          <cell r="E204" t="str">
            <v>3PL배송비-센타하역비-전산관리직인건비</v>
          </cell>
          <cell r="F204">
            <v>9156899</v>
          </cell>
        </row>
        <row r="205">
          <cell r="D205" t="str">
            <v>51250200</v>
          </cell>
          <cell r="E205" t="str">
            <v>3PL배송비-센타하역비-하역고정직인건비</v>
          </cell>
          <cell r="F205">
            <v>14493311</v>
          </cell>
        </row>
        <row r="206">
          <cell r="D206" t="str">
            <v>51250800</v>
          </cell>
          <cell r="E206" t="str">
            <v>3PL배송비-센타하역비-타사파렛트렌탈료</v>
          </cell>
          <cell r="F206">
            <v>100000</v>
          </cell>
        </row>
        <row r="207">
          <cell r="D207" t="str">
            <v>51251000</v>
          </cell>
          <cell r="E207" t="str">
            <v>3PL배송비-센타하역비-기타</v>
          </cell>
          <cell r="F207">
            <v>4715400</v>
          </cell>
        </row>
        <row r="208">
          <cell r="B208" t="str">
            <v>32340</v>
          </cell>
          <cell r="C208" t="str">
            <v>냉동배송센터</v>
          </cell>
          <cell r="D208" t="str">
            <v>51350200</v>
          </cell>
          <cell r="E208" t="str">
            <v>3PL배송비-보관비-보관창고임차료</v>
          </cell>
          <cell r="F208">
            <v>4200000</v>
          </cell>
        </row>
        <row r="209">
          <cell r="B209" t="str">
            <v>32342</v>
          </cell>
          <cell r="C209" t="str">
            <v>1본부 운영1팀</v>
          </cell>
          <cell r="D209" t="str">
            <v>51250100</v>
          </cell>
          <cell r="E209" t="str">
            <v>3PL배송비-센타하역비-전산관리직인건비</v>
          </cell>
          <cell r="F209">
            <v>0</v>
          </cell>
        </row>
        <row r="210">
          <cell r="D210" t="str">
            <v>51250200</v>
          </cell>
          <cell r="E210" t="str">
            <v>3PL배송비-센타하역비-하역고정직인건비</v>
          </cell>
          <cell r="F210">
            <v>24136465</v>
          </cell>
        </row>
        <row r="211">
          <cell r="D211" t="str">
            <v>51250600</v>
          </cell>
          <cell r="E211" t="str">
            <v>3PL배송비-센타하역비-물류소모품비</v>
          </cell>
          <cell r="F211">
            <v>0</v>
          </cell>
        </row>
        <row r="212">
          <cell r="D212" t="str">
            <v>51250800</v>
          </cell>
          <cell r="E212" t="str">
            <v>3PL배송비-센타하역비-타사파렛트렌탈료</v>
          </cell>
          <cell r="F212">
            <v>26391112</v>
          </cell>
        </row>
        <row r="213">
          <cell r="B213" t="str">
            <v>32342</v>
          </cell>
          <cell r="C213" t="str">
            <v>1본부 운영1팀</v>
          </cell>
          <cell r="D213" t="str">
            <v>51251000</v>
          </cell>
          <cell r="E213" t="str">
            <v>3PL배송비-센타하역비-기타</v>
          </cell>
          <cell r="F213">
            <v>0</v>
          </cell>
        </row>
        <row r="214">
          <cell r="B214" t="str">
            <v>32343</v>
          </cell>
          <cell r="C214" t="str">
            <v>1본부 운영2팀</v>
          </cell>
          <cell r="D214" t="str">
            <v>51600200</v>
          </cell>
          <cell r="E214" t="str">
            <v>3PL배송비-반품비-배송반품운송비</v>
          </cell>
          <cell r="F214">
            <v>0</v>
          </cell>
        </row>
        <row r="215">
          <cell r="B215" t="str">
            <v>32345</v>
          </cell>
          <cell r="C215" t="str">
            <v>웅진_개발덕평파트</v>
          </cell>
          <cell r="D215" t="str">
            <v>51250100</v>
          </cell>
          <cell r="E215" t="str">
            <v>3PL배송비-센타하역비-전산관리직인건비</v>
          </cell>
          <cell r="F215">
            <v>0</v>
          </cell>
        </row>
        <row r="216">
          <cell r="D216" t="str">
            <v>51250200</v>
          </cell>
          <cell r="E216" t="str">
            <v>3PL배송비-센타하역비-하역고정직인건비</v>
          </cell>
          <cell r="F216">
            <v>80872466</v>
          </cell>
        </row>
        <row r="217">
          <cell r="D217" t="str">
            <v>51250300</v>
          </cell>
          <cell r="E217" t="str">
            <v>3PL배송비-센타하역비-하역임시직인건비</v>
          </cell>
          <cell r="F217">
            <v>0</v>
          </cell>
        </row>
        <row r="218">
          <cell r="D218" t="str">
            <v>51250400</v>
          </cell>
          <cell r="E218" t="str">
            <v>3PL배송비-센타하역비-지게차사용료</v>
          </cell>
          <cell r="F218">
            <v>9238700</v>
          </cell>
        </row>
        <row r="219">
          <cell r="D219" t="str">
            <v>51250600</v>
          </cell>
          <cell r="E219" t="str">
            <v>3PL배송비-센타하역비-물류소모품비</v>
          </cell>
          <cell r="F219">
            <v>6621260</v>
          </cell>
        </row>
        <row r="220">
          <cell r="D220" t="str">
            <v>51251000</v>
          </cell>
          <cell r="E220" t="str">
            <v>3PL배송비-센타하역비-기타</v>
          </cell>
          <cell r="F220">
            <v>0</v>
          </cell>
        </row>
        <row r="221">
          <cell r="D221" t="str">
            <v>51350200</v>
          </cell>
          <cell r="E221" t="str">
            <v>3PL배송비-보관비-보관창고임차료</v>
          </cell>
          <cell r="F221">
            <v>99198600</v>
          </cell>
        </row>
        <row r="222">
          <cell r="B222" t="str">
            <v>32345</v>
          </cell>
          <cell r="C222" t="str">
            <v>웅진_개발덕평파트</v>
          </cell>
          <cell r="D222" t="str">
            <v>51450600</v>
          </cell>
          <cell r="E222" t="str">
            <v>3PL배송비-유통가공비-물류소모품비</v>
          </cell>
          <cell r="F222">
            <v>1233500</v>
          </cell>
        </row>
        <row r="223">
          <cell r="B223" t="str">
            <v>32346</v>
          </cell>
          <cell r="C223" t="str">
            <v>웅진_개발연기센터</v>
          </cell>
          <cell r="D223" t="str">
            <v>51250100</v>
          </cell>
          <cell r="E223" t="str">
            <v>3PL배송비-센타하역비-전산관리직인건비</v>
          </cell>
          <cell r="F223">
            <v>2606912</v>
          </cell>
        </row>
        <row r="224">
          <cell r="D224" t="str">
            <v>51250200</v>
          </cell>
          <cell r="E224" t="str">
            <v>3PL배송비-센타하역비-하역고정직인건비</v>
          </cell>
          <cell r="F224">
            <v>13226294</v>
          </cell>
        </row>
        <row r="225">
          <cell r="D225" t="str">
            <v>51250300</v>
          </cell>
          <cell r="E225" t="str">
            <v>3PL배송비-센타하역비-하역임시직인건비</v>
          </cell>
          <cell r="F225">
            <v>8230343</v>
          </cell>
        </row>
        <row r="226">
          <cell r="D226" t="str">
            <v>51250400</v>
          </cell>
          <cell r="E226" t="str">
            <v>3PL배송비-센타하역비-지게차사용료</v>
          </cell>
          <cell r="F226">
            <v>1998000</v>
          </cell>
        </row>
        <row r="227">
          <cell r="D227" t="str">
            <v>51250600</v>
          </cell>
          <cell r="E227" t="str">
            <v>3PL배송비-센타하역비-물류소모품비</v>
          </cell>
          <cell r="F227">
            <v>700800</v>
          </cell>
        </row>
        <row r="228">
          <cell r="D228" t="str">
            <v>51251000</v>
          </cell>
          <cell r="E228" t="str">
            <v>3PL배송비-센타하역비-기타</v>
          </cell>
          <cell r="F228">
            <v>0</v>
          </cell>
        </row>
        <row r="229">
          <cell r="D229" t="str">
            <v>51350200</v>
          </cell>
          <cell r="E229" t="str">
            <v>3PL배송비-보관비-보관창고임차료</v>
          </cell>
          <cell r="F229">
            <v>14700000</v>
          </cell>
        </row>
        <row r="230">
          <cell r="B230" t="str">
            <v>32346</v>
          </cell>
          <cell r="C230" t="str">
            <v>웅진_개발연기센터</v>
          </cell>
          <cell r="D230" t="str">
            <v>51450600</v>
          </cell>
          <cell r="E230" t="str">
            <v>3PL배송비-유통가공비-물류소모품비</v>
          </cell>
          <cell r="F230">
            <v>865000</v>
          </cell>
        </row>
        <row r="231">
          <cell r="B231" t="str">
            <v>32347</v>
          </cell>
          <cell r="C231" t="str">
            <v>웅진_개발양산센터</v>
          </cell>
          <cell r="D231" t="str">
            <v>51250200</v>
          </cell>
          <cell r="E231" t="str">
            <v>3PL배송비-센타하역비-하역고정직인건비</v>
          </cell>
          <cell r="F231">
            <v>27264904</v>
          </cell>
        </row>
        <row r="232">
          <cell r="D232" t="str">
            <v>51250400</v>
          </cell>
          <cell r="E232" t="str">
            <v>3PL배송비-센타하역비-지게차사용료</v>
          </cell>
          <cell r="F232">
            <v>3500000</v>
          </cell>
        </row>
        <row r="233">
          <cell r="D233" t="str">
            <v>51250600</v>
          </cell>
          <cell r="E233" t="str">
            <v>3PL배송비-센타하역비-물류소모품비</v>
          </cell>
          <cell r="F233">
            <v>675227</v>
          </cell>
        </row>
        <row r="234">
          <cell r="D234" t="str">
            <v>51251000</v>
          </cell>
          <cell r="E234" t="str">
            <v>3PL배송비-센타하역비-기타</v>
          </cell>
          <cell r="F234">
            <v>0</v>
          </cell>
        </row>
        <row r="235">
          <cell r="D235" t="str">
            <v>51350200</v>
          </cell>
          <cell r="E235" t="str">
            <v>3PL배송비-보관비-보관창고임차료</v>
          </cell>
          <cell r="F235">
            <v>26730134</v>
          </cell>
        </row>
        <row r="236">
          <cell r="D236" t="str">
            <v>51450600</v>
          </cell>
          <cell r="E236" t="str">
            <v>3PL배송비-유통가공비-물류소모품비</v>
          </cell>
          <cell r="F236">
            <v>1183000</v>
          </cell>
        </row>
        <row r="237">
          <cell r="B237" t="str">
            <v>32347</v>
          </cell>
          <cell r="C237" t="str">
            <v>웅진_개발양산센터</v>
          </cell>
          <cell r="D237" t="str">
            <v>51600200</v>
          </cell>
          <cell r="E237" t="str">
            <v>3PL배송비-반품비-배송반품운송비</v>
          </cell>
          <cell r="F237">
            <v>111300</v>
          </cell>
        </row>
        <row r="238">
          <cell r="B238" t="str">
            <v>32348</v>
          </cell>
          <cell r="C238" t="str">
            <v>웅진_개발지점창고</v>
          </cell>
          <cell r="D238" t="str">
            <v>51250600</v>
          </cell>
          <cell r="E238" t="str">
            <v>3PL배송비-센타하역비-물류소모품비</v>
          </cell>
          <cell r="F238">
            <v>746330</v>
          </cell>
        </row>
        <row r="239">
          <cell r="D239" t="str">
            <v>51251000</v>
          </cell>
          <cell r="E239" t="str">
            <v>3PL배송비-센타하역비-기타</v>
          </cell>
          <cell r="F239">
            <v>240390000</v>
          </cell>
        </row>
        <row r="240">
          <cell r="D240" t="str">
            <v>51300100</v>
          </cell>
          <cell r="E240" t="str">
            <v>3PL배송비-폐기운영비-폐기위탁비용</v>
          </cell>
          <cell r="F240">
            <v>3078500</v>
          </cell>
        </row>
        <row r="241">
          <cell r="D241" t="str">
            <v>51309900</v>
          </cell>
          <cell r="E241" t="str">
            <v>3PL배송비-폐기운영비-기타</v>
          </cell>
          <cell r="F241">
            <v>4307481</v>
          </cell>
        </row>
        <row r="242">
          <cell r="D242" t="str">
            <v>51350200</v>
          </cell>
          <cell r="E242" t="str">
            <v>3PL배송비-보관비-보관창고임차료</v>
          </cell>
          <cell r="F242">
            <v>154083574</v>
          </cell>
        </row>
        <row r="243">
          <cell r="B243" t="str">
            <v>32348</v>
          </cell>
          <cell r="C243" t="str">
            <v>웅진_개발지점창고</v>
          </cell>
          <cell r="D243" t="str">
            <v>51450600</v>
          </cell>
          <cell r="E243" t="str">
            <v>3PL배송비-유통가공비-물류소모품비</v>
          </cell>
          <cell r="F243">
            <v>1670700</v>
          </cell>
        </row>
        <row r="244">
          <cell r="B244" t="str">
            <v>32349</v>
          </cell>
          <cell r="C244" t="str">
            <v>웅진_식품왜관센터</v>
          </cell>
          <cell r="D244" t="str">
            <v>51250100</v>
          </cell>
          <cell r="E244" t="str">
            <v>3PL배송비-센타하역비-전산관리직인건비</v>
          </cell>
          <cell r="F244">
            <v>3628517</v>
          </cell>
        </row>
        <row r="245">
          <cell r="D245" t="str">
            <v>51250200</v>
          </cell>
          <cell r="E245" t="str">
            <v>3PL배송비-센타하역비-하역고정직인건비</v>
          </cell>
          <cell r="F245">
            <v>10414403</v>
          </cell>
        </row>
        <row r="246">
          <cell r="D246" t="str">
            <v>51250300</v>
          </cell>
          <cell r="E246" t="str">
            <v>3PL배송비-센타하역비-하역임시직인건비</v>
          </cell>
          <cell r="F246">
            <v>6837560</v>
          </cell>
        </row>
        <row r="247">
          <cell r="D247" t="str">
            <v>51250400</v>
          </cell>
          <cell r="E247" t="str">
            <v>3PL배송비-센타하역비-지게차사용료</v>
          </cell>
          <cell r="F247">
            <v>3000000</v>
          </cell>
        </row>
        <row r="248">
          <cell r="D248" t="str">
            <v>51250500</v>
          </cell>
          <cell r="E248" t="str">
            <v>3PL배송-하역-지게차유류대</v>
          </cell>
          <cell r="F248">
            <v>1604833</v>
          </cell>
        </row>
        <row r="249">
          <cell r="D249" t="str">
            <v>51250600</v>
          </cell>
          <cell r="E249" t="str">
            <v>3PL배송비-센타하역비-물류소모품비</v>
          </cell>
          <cell r="F249">
            <v>329900</v>
          </cell>
        </row>
        <row r="250">
          <cell r="D250" t="str">
            <v>51251000</v>
          </cell>
          <cell r="E250" t="str">
            <v>3PL배송비-센타하역비-기타</v>
          </cell>
          <cell r="F250">
            <v>0</v>
          </cell>
        </row>
        <row r="251">
          <cell r="D251" t="str">
            <v>51350200</v>
          </cell>
          <cell r="E251" t="str">
            <v>3PL배송비-보관비-보관창고임차료</v>
          </cell>
          <cell r="F251">
            <v>21000000</v>
          </cell>
        </row>
        <row r="252">
          <cell r="B252" t="str">
            <v>32349</v>
          </cell>
          <cell r="C252" t="str">
            <v>웅진_식품왜관센터</v>
          </cell>
          <cell r="D252" t="str">
            <v>51600200</v>
          </cell>
          <cell r="E252" t="str">
            <v>3PL배송비-반품비-배송반품운송비</v>
          </cell>
          <cell r="F252">
            <v>1007300</v>
          </cell>
        </row>
        <row r="253">
          <cell r="B253" t="str">
            <v>32350</v>
          </cell>
          <cell r="C253" t="str">
            <v>웅진_식품이천파트</v>
          </cell>
          <cell r="D253" t="str">
            <v>51250200</v>
          </cell>
          <cell r="E253" t="str">
            <v>3PL배송비-센타하역비-하역고정직인건비</v>
          </cell>
          <cell r="F253">
            <v>24590232</v>
          </cell>
        </row>
        <row r="254">
          <cell r="D254" t="str">
            <v>51250300</v>
          </cell>
          <cell r="E254" t="str">
            <v>3PL배송비-센타하역비-하역임시직인건비</v>
          </cell>
          <cell r="F254">
            <v>35027653</v>
          </cell>
        </row>
        <row r="255">
          <cell r="D255" t="str">
            <v>51250400</v>
          </cell>
          <cell r="E255" t="str">
            <v>3PL배송비-센타하역비-지게차사용료</v>
          </cell>
          <cell r="F255">
            <v>4500000</v>
          </cell>
        </row>
        <row r="256">
          <cell r="D256" t="str">
            <v>51250500</v>
          </cell>
          <cell r="E256" t="str">
            <v>3PL배송-하역-지게차유류대</v>
          </cell>
          <cell r="F256">
            <v>0</v>
          </cell>
        </row>
        <row r="257">
          <cell r="D257" t="str">
            <v>51250600</v>
          </cell>
          <cell r="E257" t="str">
            <v>3PL배송비-센타하역비-물류소모품비</v>
          </cell>
          <cell r="F257">
            <v>4457842</v>
          </cell>
        </row>
        <row r="258">
          <cell r="D258" t="str">
            <v>51251000</v>
          </cell>
          <cell r="E258" t="str">
            <v>3PL배송비-센타하역비-기타</v>
          </cell>
          <cell r="F258">
            <v>1054545</v>
          </cell>
        </row>
        <row r="259">
          <cell r="D259" t="str">
            <v>51350200</v>
          </cell>
          <cell r="E259" t="str">
            <v>3PL배송비-보관비-보관창고임차료</v>
          </cell>
          <cell r="F259">
            <v>64000000</v>
          </cell>
        </row>
        <row r="260">
          <cell r="B260" t="str">
            <v>32350</v>
          </cell>
          <cell r="C260" t="str">
            <v>웅진_식품이천파트</v>
          </cell>
          <cell r="D260" t="str">
            <v>51600200</v>
          </cell>
          <cell r="E260" t="str">
            <v>3PL배송비-반품비-배송반품운송비</v>
          </cell>
          <cell r="F260">
            <v>707300</v>
          </cell>
        </row>
        <row r="261">
          <cell r="B261" t="str">
            <v>32351</v>
          </cell>
          <cell r="C261" t="str">
            <v>웅진_식품연기센터</v>
          </cell>
          <cell r="D261" t="str">
            <v>51250100</v>
          </cell>
          <cell r="E261" t="str">
            <v>3PL배송비-센타하역비-전산관리직인건비</v>
          </cell>
          <cell r="F261">
            <v>4471959</v>
          </cell>
        </row>
        <row r="262">
          <cell r="D262" t="str">
            <v>51250200</v>
          </cell>
          <cell r="E262" t="str">
            <v>3PL배송비-센타하역비-하역고정직인건비</v>
          </cell>
          <cell r="F262">
            <v>5034206</v>
          </cell>
        </row>
        <row r="263">
          <cell r="D263" t="str">
            <v>51250300</v>
          </cell>
          <cell r="E263" t="str">
            <v>3PL배송비-센타하역비-하역임시직인건비</v>
          </cell>
          <cell r="F263">
            <v>16882046</v>
          </cell>
        </row>
        <row r="264">
          <cell r="D264" t="str">
            <v>51250400</v>
          </cell>
          <cell r="E264" t="str">
            <v>3PL배송비-센타하역비-지게차사용료</v>
          </cell>
          <cell r="F264">
            <v>3150000</v>
          </cell>
        </row>
        <row r="265">
          <cell r="D265" t="str">
            <v>51250600</v>
          </cell>
          <cell r="E265" t="str">
            <v>3PL배송비-센타하역비-물류소모품비</v>
          </cell>
          <cell r="F265">
            <v>3347332</v>
          </cell>
        </row>
        <row r="266">
          <cell r="D266" t="str">
            <v>51251000</v>
          </cell>
          <cell r="E266" t="str">
            <v>3PL배송비-센타하역비-기타</v>
          </cell>
          <cell r="F266">
            <v>0</v>
          </cell>
        </row>
        <row r="267">
          <cell r="D267" t="str">
            <v>51350100</v>
          </cell>
          <cell r="E267" t="str">
            <v>3PL배송비-보관비-분류창고임차료</v>
          </cell>
          <cell r="F267">
            <v>0</v>
          </cell>
        </row>
        <row r="268">
          <cell r="D268" t="str">
            <v>51350200</v>
          </cell>
          <cell r="E268" t="str">
            <v>3PL배송비-보관비-보관창고임차료</v>
          </cell>
          <cell r="F268">
            <v>21000000</v>
          </cell>
        </row>
        <row r="269">
          <cell r="D269" t="str">
            <v>51450600</v>
          </cell>
          <cell r="E269" t="str">
            <v>3PL배송비-유통가공비-물류소모품비</v>
          </cell>
          <cell r="F269">
            <v>0</v>
          </cell>
        </row>
        <row r="270">
          <cell r="B270" t="str">
            <v>32351</v>
          </cell>
          <cell r="C270" t="str">
            <v>웅진_식품연기센터</v>
          </cell>
          <cell r="D270" t="str">
            <v>51600200</v>
          </cell>
          <cell r="E270" t="str">
            <v>3PL배송비-반품비-배송반품운송비</v>
          </cell>
          <cell r="F270">
            <v>630000</v>
          </cell>
        </row>
        <row r="271">
          <cell r="B271" t="str">
            <v>32352</v>
          </cell>
          <cell r="C271" t="str">
            <v>서수원센터</v>
          </cell>
          <cell r="D271" t="str">
            <v>51250600</v>
          </cell>
          <cell r="E271" t="str">
            <v>3PL배송비-센타하역비-물류소모품비</v>
          </cell>
          <cell r="F271">
            <v>0</v>
          </cell>
        </row>
        <row r="272">
          <cell r="D272" t="str">
            <v>51350200</v>
          </cell>
          <cell r="E272" t="str">
            <v>3PL배송비-보관비-보관창고임차료</v>
          </cell>
          <cell r="F272">
            <v>33534000</v>
          </cell>
        </row>
        <row r="273">
          <cell r="D273" t="str">
            <v>51450200</v>
          </cell>
          <cell r="E273" t="str">
            <v>3PL배송비-유통가공비-하역고정직인건비</v>
          </cell>
          <cell r="F273">
            <v>27000000</v>
          </cell>
        </row>
        <row r="274">
          <cell r="D274" t="str">
            <v>51450600</v>
          </cell>
          <cell r="E274" t="str">
            <v>3PL배송비-유통가공비-물류소모품비</v>
          </cell>
          <cell r="F274">
            <v>160000</v>
          </cell>
        </row>
        <row r="275">
          <cell r="B275" t="str">
            <v>32352</v>
          </cell>
          <cell r="C275" t="str">
            <v>서수원센터</v>
          </cell>
          <cell r="D275" t="str">
            <v>51600100</v>
          </cell>
          <cell r="E275" t="str">
            <v>3PL배송비-반품비-간선반품운송비</v>
          </cell>
          <cell r="F275">
            <v>0</v>
          </cell>
        </row>
        <row r="276">
          <cell r="B276" t="str">
            <v>32353</v>
          </cell>
          <cell r="C276" t="str">
            <v>덕평물류센터</v>
          </cell>
          <cell r="D276" t="str">
            <v>51250200</v>
          </cell>
          <cell r="E276" t="str">
            <v>3PL배송비-센타하역비-하역고정직인건비</v>
          </cell>
          <cell r="F276">
            <v>35042013</v>
          </cell>
        </row>
        <row r="277">
          <cell r="D277" t="str">
            <v>51250400</v>
          </cell>
          <cell r="E277" t="str">
            <v>3PL배송비-센타하역비-지게차사용료</v>
          </cell>
          <cell r="F277">
            <v>6600000</v>
          </cell>
        </row>
        <row r="278">
          <cell r="D278" t="str">
            <v>51250600</v>
          </cell>
          <cell r="E278" t="str">
            <v>3PL배송비-센타하역비-물류소모품비</v>
          </cell>
          <cell r="F278">
            <v>2952500</v>
          </cell>
        </row>
        <row r="279">
          <cell r="D279" t="str">
            <v>51350200</v>
          </cell>
          <cell r="E279" t="str">
            <v>3PL배송비-보관비-보관창고임차료</v>
          </cell>
          <cell r="F279">
            <v>32872400</v>
          </cell>
        </row>
        <row r="280">
          <cell r="B280" t="str">
            <v>32353</v>
          </cell>
          <cell r="C280" t="str">
            <v>덕평물류센터</v>
          </cell>
          <cell r="D280" t="str">
            <v>51459900</v>
          </cell>
          <cell r="E280" t="str">
            <v>3PL배송비-유통가공비-기타</v>
          </cell>
          <cell r="F280">
            <v>196362355</v>
          </cell>
        </row>
        <row r="281">
          <cell r="B281" t="str">
            <v>32354</v>
          </cell>
          <cell r="C281" t="str">
            <v>수도권세트 통합센터</v>
          </cell>
          <cell r="D281" t="str">
            <v>51250100</v>
          </cell>
          <cell r="E281" t="str">
            <v>3PL배송비-센타하역비-전산관리직인건비</v>
          </cell>
          <cell r="F281">
            <v>0</v>
          </cell>
        </row>
        <row r="282">
          <cell r="D282" t="str">
            <v>51250200</v>
          </cell>
          <cell r="E282" t="str">
            <v>3PL배송비-센타하역비-하역고정직인건비</v>
          </cell>
          <cell r="F282">
            <v>0</v>
          </cell>
        </row>
        <row r="283">
          <cell r="D283" t="str">
            <v>51250300</v>
          </cell>
          <cell r="E283" t="str">
            <v>3PL배송비-센타하역비-하역임시직인건비</v>
          </cell>
          <cell r="F283">
            <v>0</v>
          </cell>
        </row>
        <row r="284">
          <cell r="D284" t="str">
            <v>51250400</v>
          </cell>
          <cell r="E284" t="str">
            <v>3PL배송비-센타하역비-지게차사용료</v>
          </cell>
          <cell r="F284">
            <v>0</v>
          </cell>
        </row>
        <row r="285">
          <cell r="D285" t="str">
            <v>51250500</v>
          </cell>
          <cell r="E285" t="str">
            <v>3PL배송-하역-지게차유류대</v>
          </cell>
          <cell r="F285">
            <v>337169</v>
          </cell>
        </row>
        <row r="286">
          <cell r="D286" t="str">
            <v>51250600</v>
          </cell>
          <cell r="E286" t="str">
            <v>3PL배송비-센타하역비-물류소모품비</v>
          </cell>
          <cell r="F286">
            <v>0</v>
          </cell>
        </row>
        <row r="287">
          <cell r="D287" t="str">
            <v>51250800</v>
          </cell>
          <cell r="E287" t="str">
            <v>3PL배송비-센타하역비-타사파렛트렌탈료</v>
          </cell>
          <cell r="F287">
            <v>0</v>
          </cell>
        </row>
        <row r="288">
          <cell r="D288" t="str">
            <v>51350100</v>
          </cell>
          <cell r="E288" t="str">
            <v>3PL배송비-보관비-분류창고임차료</v>
          </cell>
          <cell r="F288">
            <v>0</v>
          </cell>
        </row>
        <row r="289">
          <cell r="B289" t="str">
            <v>32354</v>
          </cell>
          <cell r="C289" t="str">
            <v>수도권세트 통합센터</v>
          </cell>
          <cell r="D289" t="str">
            <v>51350200</v>
          </cell>
          <cell r="E289" t="str">
            <v>3PL배송비-보관비-보관창고임차료</v>
          </cell>
          <cell r="F289">
            <v>27459000</v>
          </cell>
        </row>
        <row r="290">
          <cell r="B290" t="str">
            <v>32355</v>
          </cell>
          <cell r="C290" t="str">
            <v>경북공동창고</v>
          </cell>
          <cell r="D290" t="str">
            <v>51250300</v>
          </cell>
          <cell r="E290" t="str">
            <v>3PL배송비-센타하역비-하역임시직인건비</v>
          </cell>
          <cell r="F290">
            <v>0</v>
          </cell>
        </row>
        <row r="291">
          <cell r="D291" t="str">
            <v>51250400</v>
          </cell>
          <cell r="E291" t="str">
            <v>3PL배송비-센타하역비-지게차사용료</v>
          </cell>
          <cell r="F291">
            <v>0</v>
          </cell>
        </row>
        <row r="292">
          <cell r="B292" t="str">
            <v>32355</v>
          </cell>
          <cell r="C292" t="str">
            <v>경북공동창고</v>
          </cell>
          <cell r="D292" t="str">
            <v>51250600</v>
          </cell>
          <cell r="E292" t="str">
            <v>3PL배송비-센타하역비-물류소모품비</v>
          </cell>
          <cell r="F292">
            <v>0</v>
          </cell>
        </row>
        <row r="293">
          <cell r="B293" t="str">
            <v>32356</v>
          </cell>
          <cell r="C293" t="str">
            <v>경남공동창고</v>
          </cell>
          <cell r="D293" t="str">
            <v>51250600</v>
          </cell>
          <cell r="E293" t="str">
            <v>3PL배송비-센타하역비-물류소모품비</v>
          </cell>
          <cell r="F293">
            <v>0</v>
          </cell>
        </row>
        <row r="294">
          <cell r="B294" t="str">
            <v>32356</v>
          </cell>
          <cell r="C294" t="str">
            <v>경남공동창고</v>
          </cell>
          <cell r="D294" t="str">
            <v>51250700</v>
          </cell>
          <cell r="E294" t="str">
            <v>3PL배송비-센타하역비-물동량성과급</v>
          </cell>
          <cell r="F294">
            <v>0</v>
          </cell>
        </row>
        <row r="295">
          <cell r="B295" t="str">
            <v>32357</v>
          </cell>
          <cell r="C295" t="str">
            <v>광주공동창고</v>
          </cell>
          <cell r="D295" t="str">
            <v>51250700</v>
          </cell>
          <cell r="E295" t="str">
            <v>3PL배송비-센타하역비-물동량성과급</v>
          </cell>
          <cell r="F295">
            <v>0</v>
          </cell>
        </row>
        <row r="296">
          <cell r="B296" t="str">
            <v>32358</v>
          </cell>
          <cell r="C296" t="str">
            <v>충청공동창고</v>
          </cell>
          <cell r="D296" t="str">
            <v>51250600</v>
          </cell>
          <cell r="E296" t="str">
            <v>3PL배송비-센타하역비-물류소모품비</v>
          </cell>
          <cell r="F296">
            <v>0</v>
          </cell>
        </row>
        <row r="297">
          <cell r="B297" t="str">
            <v>32358</v>
          </cell>
          <cell r="C297" t="str">
            <v>충청공동창고</v>
          </cell>
          <cell r="D297" t="str">
            <v>51250700</v>
          </cell>
          <cell r="E297" t="str">
            <v>3PL배송비-센타하역비-물동량성과급</v>
          </cell>
          <cell r="F297">
            <v>0</v>
          </cell>
        </row>
        <row r="298">
          <cell r="B298" t="str">
            <v>32359</v>
          </cell>
          <cell r="C298" t="str">
            <v>웅진_식품인천센터</v>
          </cell>
          <cell r="D298" t="str">
            <v>51251000</v>
          </cell>
          <cell r="E298" t="str">
            <v>3PL배송비-센타하역비-기타</v>
          </cell>
          <cell r="F298">
            <v>0</v>
          </cell>
        </row>
        <row r="299">
          <cell r="B299" t="str">
            <v>32361</v>
          </cell>
          <cell r="C299" t="str">
            <v>1본부 TCC파트</v>
          </cell>
          <cell r="D299" t="str">
            <v>51400200</v>
          </cell>
          <cell r="E299" t="str">
            <v>3PL배송비-컨설팅소모경비</v>
          </cell>
          <cell r="F299">
            <v>1180072</v>
          </cell>
        </row>
        <row r="300">
          <cell r="B300" t="str">
            <v>32362</v>
          </cell>
          <cell r="C300" t="str">
            <v>만도울산센터</v>
          </cell>
          <cell r="D300" t="str">
            <v>51250200</v>
          </cell>
          <cell r="E300" t="str">
            <v>3PL배송비-센타하역비-하역고정직인건비</v>
          </cell>
          <cell r="F300">
            <v>83119910</v>
          </cell>
        </row>
        <row r="301">
          <cell r="D301" t="str">
            <v>51250400</v>
          </cell>
          <cell r="E301" t="str">
            <v>3PL배송비-센타하역비-지게차사용료</v>
          </cell>
          <cell r="F301">
            <v>5266000</v>
          </cell>
        </row>
        <row r="302">
          <cell r="B302" t="str">
            <v>32362</v>
          </cell>
          <cell r="C302" t="str">
            <v>만도울산센터</v>
          </cell>
          <cell r="D302" t="str">
            <v>51251000</v>
          </cell>
          <cell r="E302" t="str">
            <v>3PL배송비-센타하역비-기타</v>
          </cell>
          <cell r="F302">
            <v>12451976</v>
          </cell>
        </row>
        <row r="303">
          <cell r="B303" t="str">
            <v>32363</v>
          </cell>
          <cell r="C303" t="str">
            <v>안성센터</v>
          </cell>
          <cell r="D303" t="str">
            <v>51250100</v>
          </cell>
          <cell r="E303" t="str">
            <v>3PL배송비-센타하역비-전산관리직인건비</v>
          </cell>
          <cell r="F303">
            <v>0</v>
          </cell>
        </row>
        <row r="304">
          <cell r="D304" t="str">
            <v>51250600</v>
          </cell>
          <cell r="E304" t="str">
            <v>3PL배송비-센타하역비-물류소모품비</v>
          </cell>
          <cell r="F304">
            <v>435000</v>
          </cell>
        </row>
        <row r="305">
          <cell r="D305" t="str">
            <v>51250700</v>
          </cell>
          <cell r="E305" t="str">
            <v>3PL배송비-센타하역비-물동량성과급</v>
          </cell>
          <cell r="F305">
            <v>0</v>
          </cell>
        </row>
        <row r="306">
          <cell r="D306" t="str">
            <v>51250800</v>
          </cell>
          <cell r="E306" t="str">
            <v>3PL배송비-센타하역비-타사파렛트렌탈료</v>
          </cell>
          <cell r="F306">
            <v>2446946</v>
          </cell>
        </row>
        <row r="307">
          <cell r="D307" t="str">
            <v>51251000</v>
          </cell>
          <cell r="E307" t="str">
            <v>3PL배송비-센타하역비-기타</v>
          </cell>
          <cell r="F307">
            <v>48459692</v>
          </cell>
        </row>
        <row r="308">
          <cell r="B308" t="str">
            <v>32363</v>
          </cell>
          <cell r="C308" t="str">
            <v>안성센터</v>
          </cell>
          <cell r="D308" t="str">
            <v>51350200</v>
          </cell>
          <cell r="E308" t="str">
            <v>3PL배송비-보관비-보관창고임차료</v>
          </cell>
          <cell r="F308">
            <v>18300000</v>
          </cell>
        </row>
        <row r="309">
          <cell r="B309" t="str">
            <v>32364</v>
          </cell>
          <cell r="C309" t="str">
            <v>용인센터</v>
          </cell>
          <cell r="D309" t="str">
            <v>51250100</v>
          </cell>
          <cell r="E309" t="str">
            <v>3PL배송비-센타하역비-전산관리직인건비</v>
          </cell>
          <cell r="F309">
            <v>8646552</v>
          </cell>
        </row>
        <row r="310">
          <cell r="D310" t="str">
            <v>51250200</v>
          </cell>
          <cell r="E310" t="str">
            <v>3PL배송비-센타하역비-하역고정직인건비</v>
          </cell>
          <cell r="F310">
            <v>19240193</v>
          </cell>
        </row>
        <row r="311">
          <cell r="D311" t="str">
            <v>51250300</v>
          </cell>
          <cell r="E311" t="str">
            <v>3PL배송비-센타하역비-하역임시직인건비</v>
          </cell>
          <cell r="F311">
            <v>2791000</v>
          </cell>
        </row>
        <row r="312">
          <cell r="D312" t="str">
            <v>51250400</v>
          </cell>
          <cell r="E312" t="str">
            <v>3PL배송비-센타하역비-지게차사용료</v>
          </cell>
          <cell r="F312">
            <v>6507500</v>
          </cell>
        </row>
        <row r="313">
          <cell r="D313" t="str">
            <v>51250600</v>
          </cell>
          <cell r="E313" t="str">
            <v>3PL배송비-센타하역비-물류소모품비</v>
          </cell>
          <cell r="F313">
            <v>1388200</v>
          </cell>
        </row>
        <row r="314">
          <cell r="D314" t="str">
            <v>51250700</v>
          </cell>
          <cell r="E314" t="str">
            <v>3PL배송비-센타하역비-물동량성과급</v>
          </cell>
          <cell r="F314">
            <v>0</v>
          </cell>
        </row>
        <row r="315">
          <cell r="D315" t="str">
            <v>51250800</v>
          </cell>
          <cell r="E315" t="str">
            <v>3PL배송비-센타하역비-타사파렛트렌탈료</v>
          </cell>
          <cell r="F315">
            <v>2751442</v>
          </cell>
        </row>
        <row r="316">
          <cell r="D316" t="str">
            <v>51350200</v>
          </cell>
          <cell r="E316" t="str">
            <v>3PL배송비-보관비-보관창고임차료</v>
          </cell>
          <cell r="F316">
            <v>61887000</v>
          </cell>
        </row>
        <row r="317">
          <cell r="D317" t="str">
            <v>51450100</v>
          </cell>
          <cell r="E317" t="str">
            <v>3PL배송비-유통가공비-전산관리직인건비</v>
          </cell>
          <cell r="F317">
            <v>6709649</v>
          </cell>
        </row>
        <row r="318">
          <cell r="D318" t="str">
            <v>51450200</v>
          </cell>
          <cell r="E318" t="str">
            <v>3PL배송비-유통가공비-하역고정직인건비</v>
          </cell>
          <cell r="F318">
            <v>6178224</v>
          </cell>
        </row>
        <row r="319">
          <cell r="D319" t="str">
            <v>51450300</v>
          </cell>
          <cell r="E319" t="str">
            <v>3PL배송비-유통가공비-하역임시직인건비</v>
          </cell>
          <cell r="F319">
            <v>11874210</v>
          </cell>
        </row>
        <row r="320">
          <cell r="D320" t="str">
            <v>51450400</v>
          </cell>
          <cell r="E320" t="str">
            <v>3PL배송비-유통가공비-지게차사용료</v>
          </cell>
          <cell r="F320">
            <v>2037500</v>
          </cell>
        </row>
        <row r="321">
          <cell r="D321" t="str">
            <v>51450600</v>
          </cell>
          <cell r="E321" t="str">
            <v>3PL배송비-유통가공비-물류소모품비</v>
          </cell>
          <cell r="F321">
            <v>267642</v>
          </cell>
        </row>
        <row r="322">
          <cell r="B322" t="str">
            <v>32364</v>
          </cell>
          <cell r="C322" t="str">
            <v>용인센터</v>
          </cell>
          <cell r="D322" t="str">
            <v>51600200</v>
          </cell>
          <cell r="E322" t="str">
            <v>3PL배송비-반품비-배송반품운송비</v>
          </cell>
          <cell r="F322">
            <v>590000</v>
          </cell>
        </row>
        <row r="323">
          <cell r="B323" t="str">
            <v>32366</v>
          </cell>
          <cell r="C323" t="str">
            <v>스피델 어패럴센터</v>
          </cell>
          <cell r="D323" t="str">
            <v>51459900</v>
          </cell>
          <cell r="E323" t="str">
            <v>3PL배송비-유통가공비-기타</v>
          </cell>
          <cell r="F323">
            <v>3556735</v>
          </cell>
        </row>
        <row r="324">
          <cell r="B324" t="str">
            <v>32368</v>
          </cell>
          <cell r="C324" t="str">
            <v>덕평물류센터(보관)</v>
          </cell>
          <cell r="D324" t="str">
            <v>51350200</v>
          </cell>
          <cell r="E324" t="str">
            <v>3PL배송비-보관비-보관창고임차료</v>
          </cell>
          <cell r="F324">
            <v>11200000</v>
          </cell>
        </row>
        <row r="325">
          <cell r="B325" t="str">
            <v>32369</v>
          </cell>
          <cell r="C325" t="str">
            <v>진천신선센터</v>
          </cell>
          <cell r="D325" t="str">
            <v>51250100</v>
          </cell>
          <cell r="E325" t="str">
            <v>3PL배송비-센타하역비-전산관리직인건비</v>
          </cell>
          <cell r="F325">
            <v>18397010</v>
          </cell>
        </row>
        <row r="326">
          <cell r="D326" t="str">
            <v>51250200</v>
          </cell>
          <cell r="E326" t="str">
            <v>3PL배송비-센타하역비-하역고정직인건비</v>
          </cell>
          <cell r="F326">
            <v>147460566</v>
          </cell>
        </row>
        <row r="327">
          <cell r="D327" t="str">
            <v>51250400</v>
          </cell>
          <cell r="E327" t="str">
            <v>3PL배송비-센타하역비-지게차사용료</v>
          </cell>
          <cell r="F327">
            <v>7166957</v>
          </cell>
        </row>
        <row r="328">
          <cell r="B328" t="str">
            <v>32369</v>
          </cell>
          <cell r="C328" t="str">
            <v>진천신선센터</v>
          </cell>
          <cell r="D328" t="str">
            <v>51350200</v>
          </cell>
          <cell r="E328" t="str">
            <v>3PL배송비-보관비-보관창고임차료</v>
          </cell>
          <cell r="F328">
            <v>27199700</v>
          </cell>
        </row>
        <row r="329">
          <cell r="B329" t="str">
            <v>32370</v>
          </cell>
          <cell r="C329" t="str">
            <v>철도유통용인센터</v>
          </cell>
          <cell r="D329" t="str">
            <v>51250100</v>
          </cell>
          <cell r="E329" t="str">
            <v>3PL배송비-센타하역비-전산관리직인건비</v>
          </cell>
          <cell r="F329">
            <v>8266912</v>
          </cell>
        </row>
        <row r="330">
          <cell r="D330" t="str">
            <v>51250200</v>
          </cell>
          <cell r="E330" t="str">
            <v>3PL배송비-센타하역비-하역고정직인건비</v>
          </cell>
          <cell r="F330">
            <v>18517978</v>
          </cell>
        </row>
        <row r="331">
          <cell r="D331" t="str">
            <v>51250300</v>
          </cell>
          <cell r="E331" t="str">
            <v>3PL배송비-센타하역비-하역임시직인건비</v>
          </cell>
          <cell r="F331">
            <v>194000</v>
          </cell>
        </row>
        <row r="332">
          <cell r="D332" t="str">
            <v>51250400</v>
          </cell>
          <cell r="E332" t="str">
            <v>3PL배송비-센타하역비-지게차사용료</v>
          </cell>
          <cell r="F332">
            <v>3405000</v>
          </cell>
        </row>
        <row r="333">
          <cell r="D333" t="str">
            <v>51250600</v>
          </cell>
          <cell r="E333" t="str">
            <v>3PL배송비-센타하역비-물류소모품비</v>
          </cell>
          <cell r="F333">
            <v>970500</v>
          </cell>
        </row>
        <row r="334">
          <cell r="D334" t="str">
            <v>51250800</v>
          </cell>
          <cell r="E334" t="str">
            <v>3PL배송비-센타하역비-타사파렛트렌탈료</v>
          </cell>
          <cell r="F334">
            <v>655726</v>
          </cell>
        </row>
        <row r="335">
          <cell r="B335" t="str">
            <v>32370</v>
          </cell>
          <cell r="C335" t="str">
            <v>철도유통용인센터</v>
          </cell>
          <cell r="D335" t="str">
            <v>51350200</v>
          </cell>
          <cell r="E335" t="str">
            <v>3PL배송비-보관비-보관창고임차료</v>
          </cell>
          <cell r="F335">
            <v>12800000</v>
          </cell>
        </row>
        <row r="336">
          <cell r="B336" t="str">
            <v>32371</v>
          </cell>
          <cell r="C336" t="str">
            <v>알로에파주센터</v>
          </cell>
          <cell r="D336" t="str">
            <v>51250700</v>
          </cell>
          <cell r="E336" t="str">
            <v>3PL배송비-센타하역비-물동량성과급</v>
          </cell>
          <cell r="F336">
            <v>33616800</v>
          </cell>
        </row>
        <row r="337">
          <cell r="D337" t="str">
            <v>51250800</v>
          </cell>
          <cell r="E337" t="str">
            <v>3PL배송비-센타하역비-타사파렛트렌탈료</v>
          </cell>
          <cell r="F337">
            <v>1300726</v>
          </cell>
        </row>
        <row r="338">
          <cell r="B338" t="str">
            <v>32371</v>
          </cell>
          <cell r="C338" t="str">
            <v>알로에파주센터</v>
          </cell>
          <cell r="D338" t="str">
            <v>51251000</v>
          </cell>
          <cell r="E338" t="str">
            <v>3PL배송비-센타하역비-기타</v>
          </cell>
          <cell r="F338">
            <v>1177436</v>
          </cell>
        </row>
        <row r="339">
          <cell r="B339" t="str">
            <v>32397</v>
          </cell>
          <cell r="C339" t="str">
            <v>예정원가용-3PL</v>
          </cell>
          <cell r="D339" t="str">
            <v>51251000</v>
          </cell>
          <cell r="E339" t="str">
            <v>3PL배송비-센타하역비-기타</v>
          </cell>
          <cell r="F339">
            <v>54195881</v>
          </cell>
        </row>
        <row r="340">
          <cell r="B340" t="str">
            <v>42301</v>
          </cell>
          <cell r="C340" t="str">
            <v>2본부 수송파트</v>
          </cell>
          <cell r="D340" t="str">
            <v>52100100</v>
          </cell>
          <cell r="E340" t="str">
            <v>수송비-직송비-고정차운송비</v>
          </cell>
          <cell r="F340">
            <v>0</v>
          </cell>
        </row>
        <row r="341">
          <cell r="D341" t="str">
            <v>52100200</v>
          </cell>
          <cell r="E341" t="str">
            <v>수송비-직송비-임시차운송비</v>
          </cell>
          <cell r="F341">
            <v>85000</v>
          </cell>
        </row>
        <row r="342">
          <cell r="D342" t="str">
            <v>52109900</v>
          </cell>
          <cell r="E342" t="str">
            <v>수송비-직송비-기타</v>
          </cell>
          <cell r="F342">
            <v>0</v>
          </cell>
        </row>
        <row r="343">
          <cell r="D343" t="str">
            <v>52150100</v>
          </cell>
          <cell r="E343" t="str">
            <v>수송비-반출비-고정차운송비</v>
          </cell>
          <cell r="F343">
            <v>0</v>
          </cell>
        </row>
        <row r="344">
          <cell r="D344" t="str">
            <v>52150200</v>
          </cell>
          <cell r="E344" t="str">
            <v>수송비-반출비-임시차운송비</v>
          </cell>
          <cell r="F344">
            <v>0</v>
          </cell>
        </row>
        <row r="345">
          <cell r="D345" t="str">
            <v>52159900</v>
          </cell>
          <cell r="E345" t="str">
            <v>수송비-반출비기타</v>
          </cell>
          <cell r="F345">
            <v>0</v>
          </cell>
        </row>
        <row r="346">
          <cell r="B346" t="str">
            <v>42301</v>
          </cell>
          <cell r="C346" t="str">
            <v>2본부 수송파트</v>
          </cell>
          <cell r="D346" t="str">
            <v>52300400</v>
          </cell>
          <cell r="E346" t="str">
            <v>수송비-공장하역비-지게차사용료</v>
          </cell>
          <cell r="F346">
            <v>0</v>
          </cell>
        </row>
        <row r="347">
          <cell r="B347" t="str">
            <v>42303</v>
          </cell>
          <cell r="C347" t="str">
            <v>영등포제조센터</v>
          </cell>
          <cell r="D347" t="str">
            <v>52100100</v>
          </cell>
          <cell r="E347" t="str">
            <v>수송비-직송비-고정차운송비</v>
          </cell>
          <cell r="F347">
            <v>213480700</v>
          </cell>
        </row>
        <row r="348">
          <cell r="D348" t="str">
            <v>52100200</v>
          </cell>
          <cell r="E348" t="str">
            <v>수송비-직송비-임시차운송비</v>
          </cell>
          <cell r="F348">
            <v>18237000</v>
          </cell>
        </row>
        <row r="349">
          <cell r="D349" t="str">
            <v>52109900</v>
          </cell>
          <cell r="E349" t="str">
            <v>수송비-직송비-기타</v>
          </cell>
          <cell r="F349">
            <v>3846000</v>
          </cell>
        </row>
        <row r="350">
          <cell r="D350" t="str">
            <v>52150100</v>
          </cell>
          <cell r="E350" t="str">
            <v>수송비-반출비-고정차운송비</v>
          </cell>
          <cell r="F350">
            <v>32016300</v>
          </cell>
        </row>
        <row r="351">
          <cell r="D351" t="str">
            <v>52150200</v>
          </cell>
          <cell r="E351" t="str">
            <v>수송비-반출비-임시차운송비</v>
          </cell>
          <cell r="F351">
            <v>9632200</v>
          </cell>
        </row>
        <row r="352">
          <cell r="D352" t="str">
            <v>52200100</v>
          </cell>
          <cell r="E352" t="str">
            <v>수송비-조달운송비-고정차운송비</v>
          </cell>
          <cell r="F352">
            <v>124020348</v>
          </cell>
        </row>
        <row r="353">
          <cell r="D353" t="str">
            <v>52300100</v>
          </cell>
          <cell r="E353" t="str">
            <v>수송비-공장하역비-전산관리직인건비</v>
          </cell>
          <cell r="F353">
            <v>5838144</v>
          </cell>
        </row>
        <row r="354">
          <cell r="D354" t="str">
            <v>52300200</v>
          </cell>
          <cell r="E354" t="str">
            <v>수송비-공장하역비-하역고정직인건비</v>
          </cell>
          <cell r="F354">
            <v>90423362</v>
          </cell>
        </row>
        <row r="355">
          <cell r="D355" t="str">
            <v>52300400</v>
          </cell>
          <cell r="E355" t="str">
            <v>수송비-공장하역비-지게차사용료</v>
          </cell>
          <cell r="F355">
            <v>6455000</v>
          </cell>
        </row>
        <row r="356">
          <cell r="B356" t="str">
            <v>42303</v>
          </cell>
          <cell r="C356" t="str">
            <v>영등포제조센터</v>
          </cell>
          <cell r="D356" t="str">
            <v>52300600</v>
          </cell>
          <cell r="E356" t="str">
            <v>수송비-공장하역비-파렛트렌탈료</v>
          </cell>
          <cell r="F356">
            <v>27341823</v>
          </cell>
        </row>
        <row r="357">
          <cell r="B357" t="str">
            <v>42304</v>
          </cell>
          <cell r="C357" t="str">
            <v>이천제조물류파트</v>
          </cell>
          <cell r="D357" t="str">
            <v>52100100</v>
          </cell>
          <cell r="E357" t="str">
            <v>수송비-직송비-고정차운송비</v>
          </cell>
          <cell r="F357">
            <v>6464000</v>
          </cell>
        </row>
        <row r="358">
          <cell r="D358" t="str">
            <v>52100200</v>
          </cell>
          <cell r="E358" t="str">
            <v>수송비-직송비-임시차운송비</v>
          </cell>
          <cell r="F358">
            <v>603000</v>
          </cell>
        </row>
        <row r="359">
          <cell r="D359" t="str">
            <v>52109900</v>
          </cell>
          <cell r="E359" t="str">
            <v>수송비-직송비-기타</v>
          </cell>
          <cell r="F359">
            <v>0</v>
          </cell>
        </row>
        <row r="360">
          <cell r="D360" t="str">
            <v>52150100</v>
          </cell>
          <cell r="E360" t="str">
            <v>수송비-반출비-고정차운송비</v>
          </cell>
          <cell r="F360">
            <v>40727000</v>
          </cell>
        </row>
        <row r="361">
          <cell r="D361" t="str">
            <v>52150200</v>
          </cell>
          <cell r="E361" t="str">
            <v>수송비-반출비-임시차운송비</v>
          </cell>
          <cell r="F361">
            <v>1463000</v>
          </cell>
        </row>
        <row r="362">
          <cell r="D362" t="str">
            <v>52159900</v>
          </cell>
          <cell r="E362" t="str">
            <v>수송비-반출비기타</v>
          </cell>
          <cell r="F362">
            <v>29715000</v>
          </cell>
        </row>
        <row r="363">
          <cell r="D363" t="str">
            <v>52300100</v>
          </cell>
          <cell r="E363" t="str">
            <v>수송비-공장하역비-전산관리직인건비</v>
          </cell>
          <cell r="F363">
            <v>9088951</v>
          </cell>
        </row>
        <row r="364">
          <cell r="D364" t="str">
            <v>52300200</v>
          </cell>
          <cell r="E364" t="str">
            <v>수송비-공장하역비-하역고정직인건비</v>
          </cell>
          <cell r="F364">
            <v>53131795</v>
          </cell>
        </row>
        <row r="365">
          <cell r="D365" t="str">
            <v>52300400</v>
          </cell>
          <cell r="E365" t="str">
            <v>수송비-공장하역비-지게차사용료</v>
          </cell>
          <cell r="F365">
            <v>5644342</v>
          </cell>
        </row>
        <row r="366">
          <cell r="B366" t="str">
            <v>42304</v>
          </cell>
          <cell r="C366" t="str">
            <v>이천제조물류파트</v>
          </cell>
          <cell r="D366" t="str">
            <v>52300600</v>
          </cell>
          <cell r="E366" t="str">
            <v>수송비-공장하역비-파렛트렌탈료</v>
          </cell>
          <cell r="F366">
            <v>0</v>
          </cell>
        </row>
        <row r="367">
          <cell r="B367" t="str">
            <v>42305</v>
          </cell>
          <cell r="C367" t="str">
            <v>인천1제조센터</v>
          </cell>
          <cell r="D367" t="str">
            <v>52100100</v>
          </cell>
          <cell r="E367" t="str">
            <v>수송비-직송비-고정차운송비</v>
          </cell>
          <cell r="F367">
            <v>378475900</v>
          </cell>
        </row>
        <row r="368">
          <cell r="D368" t="str">
            <v>52100200</v>
          </cell>
          <cell r="E368" t="str">
            <v>수송비-직송비-임시차운송비</v>
          </cell>
          <cell r="F368">
            <v>298890000</v>
          </cell>
        </row>
        <row r="369">
          <cell r="D369" t="str">
            <v>52109900</v>
          </cell>
          <cell r="E369" t="str">
            <v>수송비-직송비-기타</v>
          </cell>
          <cell r="F369">
            <v>8988000</v>
          </cell>
        </row>
        <row r="370">
          <cell r="D370" t="str">
            <v>52150100</v>
          </cell>
          <cell r="E370" t="str">
            <v>수송비-반출비-고정차운송비</v>
          </cell>
          <cell r="F370">
            <v>68924500</v>
          </cell>
        </row>
        <row r="371">
          <cell r="D371" t="str">
            <v>52150200</v>
          </cell>
          <cell r="E371" t="str">
            <v>수송비-반출비-임시차운송비</v>
          </cell>
          <cell r="F371">
            <v>86708100</v>
          </cell>
        </row>
        <row r="372">
          <cell r="D372" t="str">
            <v>52300100</v>
          </cell>
          <cell r="E372" t="str">
            <v>수송비-공장하역비-전산관리직인건비</v>
          </cell>
          <cell r="F372">
            <v>14696380</v>
          </cell>
        </row>
        <row r="373">
          <cell r="D373" t="str">
            <v>52300200</v>
          </cell>
          <cell r="E373" t="str">
            <v>수송비-공장하역비-하역고정직인건비</v>
          </cell>
          <cell r="F373">
            <v>74489521</v>
          </cell>
        </row>
        <row r="374">
          <cell r="D374" t="str">
            <v>52300300</v>
          </cell>
          <cell r="E374" t="str">
            <v>수송비-공장하역비-하역임시직인건비</v>
          </cell>
          <cell r="F374">
            <v>4321137</v>
          </cell>
        </row>
        <row r="375">
          <cell r="D375" t="str">
            <v>52300400</v>
          </cell>
          <cell r="E375" t="str">
            <v>수송비-공장하역비-지게차사용료</v>
          </cell>
          <cell r="F375">
            <v>12375000</v>
          </cell>
        </row>
        <row r="376">
          <cell r="B376" t="str">
            <v>42305</v>
          </cell>
          <cell r="C376" t="str">
            <v>인천1제조센터</v>
          </cell>
          <cell r="D376" t="str">
            <v>52300600</v>
          </cell>
          <cell r="E376" t="str">
            <v>수송비-공장하역비-파렛트렌탈료</v>
          </cell>
          <cell r="F376">
            <v>0</v>
          </cell>
        </row>
        <row r="377">
          <cell r="B377" t="str">
            <v>42306</v>
          </cell>
          <cell r="C377" t="str">
            <v>인천2제조물류파트</v>
          </cell>
          <cell r="D377" t="str">
            <v>52100100</v>
          </cell>
          <cell r="E377" t="str">
            <v>수송비-직송비-고정차운송비</v>
          </cell>
          <cell r="F377">
            <v>237063596</v>
          </cell>
        </row>
        <row r="378">
          <cell r="D378" t="str">
            <v>52100200</v>
          </cell>
          <cell r="E378" t="str">
            <v>수송비-직송비-임시차운송비</v>
          </cell>
          <cell r="F378">
            <v>23266000</v>
          </cell>
        </row>
        <row r="379">
          <cell r="D379" t="str">
            <v>52109900</v>
          </cell>
          <cell r="E379" t="str">
            <v>수송비-직송비-기타</v>
          </cell>
          <cell r="F379">
            <v>0</v>
          </cell>
        </row>
        <row r="380">
          <cell r="D380" t="str">
            <v>52150100</v>
          </cell>
          <cell r="E380" t="str">
            <v>수송비-반출비-고정차운송비</v>
          </cell>
          <cell r="F380">
            <v>33677100</v>
          </cell>
        </row>
        <row r="381">
          <cell r="D381" t="str">
            <v>52150200</v>
          </cell>
          <cell r="E381" t="str">
            <v>수송비-반출비-임시차운송비</v>
          </cell>
          <cell r="F381">
            <v>219933100</v>
          </cell>
        </row>
        <row r="382">
          <cell r="D382" t="str">
            <v>52159900</v>
          </cell>
          <cell r="E382" t="str">
            <v>수송비-반출비기타</v>
          </cell>
          <cell r="F382">
            <v>25016800</v>
          </cell>
        </row>
        <row r="383">
          <cell r="D383" t="str">
            <v>52200100</v>
          </cell>
          <cell r="E383" t="str">
            <v>수송비-조달운송비-고정차운송비</v>
          </cell>
          <cell r="F383">
            <v>93767606</v>
          </cell>
        </row>
        <row r="384">
          <cell r="D384" t="str">
            <v>52300100</v>
          </cell>
          <cell r="E384" t="str">
            <v>수송비-공장하역비-전산관리직인건비</v>
          </cell>
          <cell r="F384">
            <v>26374340</v>
          </cell>
        </row>
        <row r="385">
          <cell r="D385" t="str">
            <v>52300200</v>
          </cell>
          <cell r="E385" t="str">
            <v>수송비-공장하역비-하역고정직인건비</v>
          </cell>
          <cell r="F385">
            <v>176349192</v>
          </cell>
        </row>
        <row r="386">
          <cell r="D386" t="str">
            <v>52300300</v>
          </cell>
          <cell r="E386" t="str">
            <v>수송비-공장하역비-하역임시직인건비</v>
          </cell>
          <cell r="F386">
            <v>1801800</v>
          </cell>
        </row>
        <row r="387">
          <cell r="D387" t="str">
            <v>52300400</v>
          </cell>
          <cell r="E387" t="str">
            <v>수송비-공장하역비-지게차사용료</v>
          </cell>
          <cell r="F387">
            <v>28098544</v>
          </cell>
        </row>
        <row r="388">
          <cell r="B388" t="str">
            <v>42306</v>
          </cell>
          <cell r="C388" t="str">
            <v>인천2제조물류파트</v>
          </cell>
          <cell r="D388" t="str">
            <v>52300600</v>
          </cell>
          <cell r="E388" t="str">
            <v>수송비-공장하역비-파렛트렌탈료</v>
          </cell>
          <cell r="F388">
            <v>9679530</v>
          </cell>
        </row>
        <row r="389">
          <cell r="B389" t="str">
            <v>42307</v>
          </cell>
          <cell r="C389" t="str">
            <v>생활제조센터</v>
          </cell>
          <cell r="D389" t="str">
            <v>52100100</v>
          </cell>
          <cell r="E389" t="str">
            <v>수송비-직송비-고정차운송비</v>
          </cell>
          <cell r="F389">
            <v>64842600</v>
          </cell>
        </row>
        <row r="390">
          <cell r="D390" t="str">
            <v>52100200</v>
          </cell>
          <cell r="E390" t="str">
            <v>수송비-직송비-임시차운송비</v>
          </cell>
          <cell r="F390">
            <v>15559000</v>
          </cell>
        </row>
        <row r="391">
          <cell r="D391" t="str">
            <v>52109900</v>
          </cell>
          <cell r="E391" t="str">
            <v>수송비-직송비-기타</v>
          </cell>
          <cell r="F391">
            <v>4409000</v>
          </cell>
        </row>
        <row r="392">
          <cell r="D392" t="str">
            <v>52150100</v>
          </cell>
          <cell r="E392" t="str">
            <v>수송비-반출비-고정차운송비</v>
          </cell>
          <cell r="F392">
            <v>33959800</v>
          </cell>
        </row>
        <row r="393">
          <cell r="D393" t="str">
            <v>52150200</v>
          </cell>
          <cell r="E393" t="str">
            <v>수송비-반출비-임시차운송비</v>
          </cell>
          <cell r="F393">
            <v>19328400</v>
          </cell>
        </row>
        <row r="394">
          <cell r="D394" t="str">
            <v>52159900</v>
          </cell>
          <cell r="E394" t="str">
            <v>수송비-반출비기타</v>
          </cell>
          <cell r="F394">
            <v>13960000</v>
          </cell>
        </row>
        <row r="395">
          <cell r="D395" t="str">
            <v>52300100</v>
          </cell>
          <cell r="E395" t="str">
            <v>수송비-공장하역비-전산관리직인건비</v>
          </cell>
          <cell r="F395">
            <v>8436775</v>
          </cell>
        </row>
        <row r="396">
          <cell r="D396" t="str">
            <v>52300200</v>
          </cell>
          <cell r="E396" t="str">
            <v>수송비-공장하역비-하역고정직인건비</v>
          </cell>
          <cell r="F396">
            <v>111569587</v>
          </cell>
        </row>
        <row r="397">
          <cell r="D397" t="str">
            <v>52300300</v>
          </cell>
          <cell r="E397" t="str">
            <v>수송비-공장하역비-하역임시직인건비</v>
          </cell>
          <cell r="F397">
            <v>6969400</v>
          </cell>
        </row>
        <row r="398">
          <cell r="D398" t="str">
            <v>52300400</v>
          </cell>
          <cell r="E398" t="str">
            <v>수송비-공장하역비-지게차사용료</v>
          </cell>
          <cell r="F398">
            <v>19897169</v>
          </cell>
        </row>
        <row r="399">
          <cell r="B399" t="str">
            <v>42307</v>
          </cell>
          <cell r="C399" t="str">
            <v>생활제조센터</v>
          </cell>
          <cell r="D399" t="str">
            <v>52300600</v>
          </cell>
          <cell r="E399" t="str">
            <v>수송비-공장하역비-파렛트렌탈료</v>
          </cell>
          <cell r="F399">
            <v>0</v>
          </cell>
        </row>
        <row r="400">
          <cell r="B400" t="str">
            <v>42308</v>
          </cell>
          <cell r="C400" t="str">
            <v>모닝웰제조센터</v>
          </cell>
          <cell r="D400" t="str">
            <v>52100100</v>
          </cell>
          <cell r="E400" t="str">
            <v>수송비-직송비-고정차운송비</v>
          </cell>
          <cell r="F400">
            <v>24539600</v>
          </cell>
        </row>
        <row r="401">
          <cell r="D401" t="str">
            <v>52100200</v>
          </cell>
          <cell r="E401" t="str">
            <v>수송비-직송비-임시차운송비</v>
          </cell>
          <cell r="F401">
            <v>9900600</v>
          </cell>
        </row>
        <row r="402">
          <cell r="D402" t="str">
            <v>52109900</v>
          </cell>
          <cell r="E402" t="str">
            <v>수송비-직송비-기타</v>
          </cell>
          <cell r="F402">
            <v>84750</v>
          </cell>
        </row>
        <row r="403">
          <cell r="D403" t="str">
            <v>52150100</v>
          </cell>
          <cell r="E403" t="str">
            <v>수송비-반출비-고정차운송비</v>
          </cell>
          <cell r="F403">
            <v>28954400</v>
          </cell>
        </row>
        <row r="404">
          <cell r="D404" t="str">
            <v>52150200</v>
          </cell>
          <cell r="E404" t="str">
            <v>수송비-반출비-임시차운송비</v>
          </cell>
          <cell r="F404">
            <v>10772800</v>
          </cell>
        </row>
        <row r="405">
          <cell r="D405" t="str">
            <v>52159900</v>
          </cell>
          <cell r="E405" t="str">
            <v>수송비-반출비기타</v>
          </cell>
          <cell r="F405">
            <v>282000</v>
          </cell>
        </row>
        <row r="406">
          <cell r="D406" t="str">
            <v>52300200</v>
          </cell>
          <cell r="E406" t="str">
            <v>수송비-공장하역비-하역고정직인건비</v>
          </cell>
          <cell r="F406">
            <v>32231500</v>
          </cell>
        </row>
        <row r="407">
          <cell r="B407" t="str">
            <v>42308</v>
          </cell>
          <cell r="C407" t="str">
            <v>모닝웰제조센터</v>
          </cell>
          <cell r="D407" t="str">
            <v>52300300</v>
          </cell>
          <cell r="E407" t="str">
            <v>수송비-공장하역비-하역임시직인건비</v>
          </cell>
          <cell r="F407">
            <v>13808670</v>
          </cell>
        </row>
        <row r="408">
          <cell r="B408" t="str">
            <v>42309</v>
          </cell>
          <cell r="C408" t="str">
            <v>부산1제조센터</v>
          </cell>
          <cell r="D408" t="str">
            <v>52100100</v>
          </cell>
          <cell r="E408" t="str">
            <v>수송비-직송비-고정차운송비</v>
          </cell>
          <cell r="F408">
            <v>174046900</v>
          </cell>
        </row>
        <row r="409">
          <cell r="D409" t="str">
            <v>52100200</v>
          </cell>
          <cell r="E409" t="str">
            <v>수송비-직송비-임시차운송비</v>
          </cell>
          <cell r="F409">
            <v>18167000</v>
          </cell>
        </row>
        <row r="410">
          <cell r="D410" t="str">
            <v>52109900</v>
          </cell>
          <cell r="E410" t="str">
            <v>수송비-직송비-기타</v>
          </cell>
          <cell r="F410">
            <v>2114000</v>
          </cell>
        </row>
        <row r="411">
          <cell r="D411" t="str">
            <v>52150100</v>
          </cell>
          <cell r="E411" t="str">
            <v>수송비-반출비-고정차운송비</v>
          </cell>
          <cell r="F411">
            <v>43743000</v>
          </cell>
        </row>
        <row r="412">
          <cell r="D412" t="str">
            <v>52150200</v>
          </cell>
          <cell r="E412" t="str">
            <v>수송비-반출비-임시차운송비</v>
          </cell>
          <cell r="F412">
            <v>2506000</v>
          </cell>
        </row>
        <row r="413">
          <cell r="D413" t="str">
            <v>52200100</v>
          </cell>
          <cell r="E413" t="str">
            <v>수송비-조달운송비-고정차운송비</v>
          </cell>
          <cell r="F413">
            <v>87125716</v>
          </cell>
        </row>
        <row r="414">
          <cell r="D414" t="str">
            <v>52300200</v>
          </cell>
          <cell r="E414" t="str">
            <v>수송비-공장하역비-하역고정직인건비</v>
          </cell>
          <cell r="F414">
            <v>42295469</v>
          </cell>
        </row>
        <row r="415">
          <cell r="D415" t="str">
            <v>52300300</v>
          </cell>
          <cell r="E415" t="str">
            <v>수송비-공장하역비-하역임시직인건비</v>
          </cell>
          <cell r="F415">
            <v>3870000</v>
          </cell>
        </row>
        <row r="416">
          <cell r="D416" t="str">
            <v>52300400</v>
          </cell>
          <cell r="E416" t="str">
            <v>수송비-공장하역비-지게차사용료</v>
          </cell>
          <cell r="F416">
            <v>9665939</v>
          </cell>
        </row>
        <row r="417">
          <cell r="B417" t="str">
            <v>42309</v>
          </cell>
          <cell r="C417" t="str">
            <v>부산1제조센터</v>
          </cell>
          <cell r="D417" t="str">
            <v>52300600</v>
          </cell>
          <cell r="E417" t="str">
            <v>수송비-공장하역비-파렛트렌탈료</v>
          </cell>
          <cell r="F417">
            <v>0</v>
          </cell>
        </row>
        <row r="418">
          <cell r="B418" t="str">
            <v>42310</v>
          </cell>
          <cell r="C418" t="str">
            <v>김포제조센터</v>
          </cell>
          <cell r="D418" t="str">
            <v>52100100</v>
          </cell>
          <cell r="E418" t="str">
            <v>수송비-직송비-고정차운송비</v>
          </cell>
          <cell r="F418">
            <v>5659000</v>
          </cell>
        </row>
        <row r="419">
          <cell r="D419" t="str">
            <v>52100200</v>
          </cell>
          <cell r="E419" t="str">
            <v>수송비-직송비-임시차운송비</v>
          </cell>
          <cell r="F419">
            <v>6639795</v>
          </cell>
        </row>
        <row r="420">
          <cell r="D420" t="str">
            <v>52150100</v>
          </cell>
          <cell r="E420" t="str">
            <v>수송비-반출비-고정차운송비</v>
          </cell>
          <cell r="F420">
            <v>17254600</v>
          </cell>
        </row>
        <row r="421">
          <cell r="D421" t="str">
            <v>52150200</v>
          </cell>
          <cell r="E421" t="str">
            <v>수송비-반출비-임시차운송비</v>
          </cell>
          <cell r="F421">
            <v>7492900</v>
          </cell>
        </row>
        <row r="422">
          <cell r="D422" t="str">
            <v>52200100</v>
          </cell>
          <cell r="E422" t="str">
            <v>수송비-조달운송비-고정차운송비</v>
          </cell>
          <cell r="F422">
            <v>94011962</v>
          </cell>
        </row>
        <row r="423">
          <cell r="D423" t="str">
            <v>52300100</v>
          </cell>
          <cell r="E423" t="str">
            <v>수송비-공장하역비-전산관리직인건비</v>
          </cell>
          <cell r="F423">
            <v>3946378</v>
          </cell>
        </row>
        <row r="424">
          <cell r="D424" t="str">
            <v>52300200</v>
          </cell>
          <cell r="E424" t="str">
            <v>수송비-공장하역비-하역고정직인건비</v>
          </cell>
          <cell r="F424">
            <v>59538614</v>
          </cell>
        </row>
        <row r="425">
          <cell r="D425" t="str">
            <v>52300300</v>
          </cell>
          <cell r="E425" t="str">
            <v>수송비-공장하역비-하역임시직인건비</v>
          </cell>
          <cell r="F425">
            <v>2016490</v>
          </cell>
        </row>
        <row r="426">
          <cell r="D426" t="str">
            <v>52300400</v>
          </cell>
          <cell r="E426" t="str">
            <v>수송비-공장하역비-지게차사용료</v>
          </cell>
          <cell r="F426">
            <v>4480000</v>
          </cell>
        </row>
        <row r="427">
          <cell r="D427" t="str">
            <v>52300600</v>
          </cell>
          <cell r="E427" t="str">
            <v>수송비-공장하역비-파렛트렌탈료</v>
          </cell>
          <cell r="F427">
            <v>0</v>
          </cell>
        </row>
        <row r="428">
          <cell r="B428" t="str">
            <v>42310</v>
          </cell>
          <cell r="C428" t="str">
            <v>김포제조센터</v>
          </cell>
          <cell r="D428" t="str">
            <v>52309900</v>
          </cell>
          <cell r="E428" t="str">
            <v>수송비-공장하역비-기타</v>
          </cell>
          <cell r="F428">
            <v>1419000</v>
          </cell>
        </row>
        <row r="429">
          <cell r="B429" t="str">
            <v>42311</v>
          </cell>
          <cell r="C429" t="str">
            <v>부산2제조물류파트</v>
          </cell>
          <cell r="D429" t="str">
            <v>52100100</v>
          </cell>
          <cell r="E429" t="str">
            <v>수송비-직송비-고정차운송비</v>
          </cell>
          <cell r="F429">
            <v>18360900</v>
          </cell>
        </row>
        <row r="430">
          <cell r="D430" t="str">
            <v>52100200</v>
          </cell>
          <cell r="E430" t="str">
            <v>수송비-직송비-임시차운송비</v>
          </cell>
          <cell r="F430">
            <v>1797000</v>
          </cell>
        </row>
        <row r="431">
          <cell r="D431" t="str">
            <v>52150100</v>
          </cell>
          <cell r="E431" t="str">
            <v>수송비-반출비-고정차운송비</v>
          </cell>
          <cell r="F431">
            <v>124357052</v>
          </cell>
        </row>
        <row r="432">
          <cell r="D432" t="str">
            <v>52150200</v>
          </cell>
          <cell r="E432" t="str">
            <v>수송비-반출비-임시차운송비</v>
          </cell>
          <cell r="F432">
            <v>10984000</v>
          </cell>
        </row>
        <row r="433">
          <cell r="D433" t="str">
            <v>52300100</v>
          </cell>
          <cell r="E433" t="str">
            <v>수송비-공장하역비-전산관리직인건비</v>
          </cell>
          <cell r="F433">
            <v>4088718</v>
          </cell>
        </row>
        <row r="434">
          <cell r="D434" t="str">
            <v>52300200</v>
          </cell>
          <cell r="E434" t="str">
            <v>수송비-공장하역비-하역고정직인건비</v>
          </cell>
          <cell r="F434">
            <v>16835342</v>
          </cell>
        </row>
        <row r="435">
          <cell r="D435" t="str">
            <v>52300300</v>
          </cell>
          <cell r="E435" t="str">
            <v>수송비-공장하역비-하역임시직인건비</v>
          </cell>
          <cell r="F435">
            <v>1430940</v>
          </cell>
        </row>
        <row r="436">
          <cell r="D436" t="str">
            <v>52300400</v>
          </cell>
          <cell r="E436" t="str">
            <v>수송비-공장하역비-지게차사용료</v>
          </cell>
          <cell r="F436">
            <v>1430000</v>
          </cell>
        </row>
        <row r="437">
          <cell r="D437" t="str">
            <v>52300500</v>
          </cell>
          <cell r="E437" t="str">
            <v>수송비-공장하역비-지게차유류대</v>
          </cell>
          <cell r="F437">
            <v>584180</v>
          </cell>
        </row>
        <row r="438">
          <cell r="D438" t="str">
            <v>52300600</v>
          </cell>
          <cell r="E438" t="str">
            <v>수송비-공장하역비-파렛트렌탈료</v>
          </cell>
          <cell r="F438">
            <v>0</v>
          </cell>
        </row>
        <row r="439">
          <cell r="B439" t="str">
            <v>42311</v>
          </cell>
          <cell r="C439" t="str">
            <v>부산2제조물류파트</v>
          </cell>
          <cell r="D439" t="str">
            <v>52300800</v>
          </cell>
          <cell r="E439" t="str">
            <v>수송비-공장하역비-물류소모품비</v>
          </cell>
          <cell r="F439">
            <v>0</v>
          </cell>
        </row>
        <row r="440">
          <cell r="B440" t="str">
            <v>42312</v>
          </cell>
          <cell r="C440" t="str">
            <v>군산제조센터</v>
          </cell>
          <cell r="D440" t="str">
            <v>52100100</v>
          </cell>
          <cell r="E440" t="str">
            <v>수송비-직송비-고정차운송비</v>
          </cell>
          <cell r="F440">
            <v>142999700</v>
          </cell>
        </row>
        <row r="441">
          <cell r="D441" t="str">
            <v>52150200</v>
          </cell>
          <cell r="E441" t="str">
            <v>수송비-반출비-임시차운송비</v>
          </cell>
          <cell r="F441">
            <v>52716300</v>
          </cell>
        </row>
        <row r="442">
          <cell r="B442" t="str">
            <v>42312</v>
          </cell>
          <cell r="C442" t="str">
            <v>군산제조센터</v>
          </cell>
          <cell r="D442" t="str">
            <v>52200100</v>
          </cell>
          <cell r="E442" t="str">
            <v>수송비-조달운송비-고정차운송비</v>
          </cell>
          <cell r="F442">
            <v>60595740</v>
          </cell>
        </row>
        <row r="443">
          <cell r="B443" t="str">
            <v>42313</v>
          </cell>
          <cell r="C443" t="str">
            <v>수출가공제조센터</v>
          </cell>
          <cell r="D443" t="str">
            <v>52300300</v>
          </cell>
          <cell r="E443" t="str">
            <v>수송비-공장하역비-하역임시직인건비</v>
          </cell>
          <cell r="F443">
            <v>560000</v>
          </cell>
        </row>
        <row r="444">
          <cell r="B444" t="str">
            <v>42314</v>
          </cell>
          <cell r="C444" t="str">
            <v>화장품제조센터</v>
          </cell>
          <cell r="D444" t="str">
            <v>52109900</v>
          </cell>
          <cell r="E444" t="str">
            <v>수송비-직송비-기타</v>
          </cell>
          <cell r="F444">
            <v>1411000</v>
          </cell>
        </row>
        <row r="445">
          <cell r="B445" t="str">
            <v>42314</v>
          </cell>
          <cell r="C445" t="str">
            <v>화장품제조센터</v>
          </cell>
          <cell r="D445" t="str">
            <v>52300600</v>
          </cell>
          <cell r="E445" t="str">
            <v>수송비-공장하역비-파렛트렌탈료</v>
          </cell>
          <cell r="F445">
            <v>0</v>
          </cell>
        </row>
        <row r="446">
          <cell r="B446" t="str">
            <v>42315</v>
          </cell>
          <cell r="C446" t="str">
            <v>여주저온매입센터</v>
          </cell>
          <cell r="D446" t="str">
            <v>52100100</v>
          </cell>
          <cell r="E446" t="str">
            <v>수송비-직송비-고정차운송비</v>
          </cell>
          <cell r="F446">
            <v>0</v>
          </cell>
        </row>
        <row r="447">
          <cell r="D447" t="str">
            <v>52150100</v>
          </cell>
          <cell r="E447" t="str">
            <v>수송비-반출비-고정차운송비</v>
          </cell>
          <cell r="F447">
            <v>0</v>
          </cell>
        </row>
        <row r="448">
          <cell r="D448" t="str">
            <v>52150200</v>
          </cell>
          <cell r="E448" t="str">
            <v>수송비-반출비-임시차운송비</v>
          </cell>
          <cell r="F448">
            <v>0</v>
          </cell>
        </row>
        <row r="449">
          <cell r="D449" t="str">
            <v>52159900</v>
          </cell>
          <cell r="E449" t="str">
            <v>수송비-반출비기타</v>
          </cell>
          <cell r="F449">
            <v>0</v>
          </cell>
        </row>
        <row r="450">
          <cell r="D450" t="str">
            <v>52300100</v>
          </cell>
          <cell r="E450" t="str">
            <v>수송비-공장하역비-전산관리직인건비</v>
          </cell>
          <cell r="F450">
            <v>0</v>
          </cell>
        </row>
        <row r="451">
          <cell r="D451" t="str">
            <v>52300200</v>
          </cell>
          <cell r="E451" t="str">
            <v>수송비-공장하역비-하역고정직인건비</v>
          </cell>
          <cell r="F451">
            <v>0</v>
          </cell>
        </row>
        <row r="452">
          <cell r="D452" t="str">
            <v>52300400</v>
          </cell>
          <cell r="E452" t="str">
            <v>수송비-공장하역비-지게차사용료</v>
          </cell>
          <cell r="F452">
            <v>0</v>
          </cell>
        </row>
        <row r="453">
          <cell r="B453" t="str">
            <v>42315</v>
          </cell>
          <cell r="C453" t="str">
            <v>여주저온매입센터</v>
          </cell>
          <cell r="D453" t="str">
            <v>52300600</v>
          </cell>
          <cell r="E453" t="str">
            <v>수송비-공장하역비-파렛트렌탈료</v>
          </cell>
          <cell r="F453">
            <v>0</v>
          </cell>
        </row>
        <row r="454">
          <cell r="B454" t="str">
            <v>42316</v>
          </cell>
          <cell r="C454" t="str">
            <v>웅진_수송운영코웨이</v>
          </cell>
          <cell r="D454" t="str">
            <v>52100100</v>
          </cell>
          <cell r="E454" t="str">
            <v>수송비-직송비-고정차운송비</v>
          </cell>
          <cell r="F454">
            <v>111079340</v>
          </cell>
        </row>
        <row r="455">
          <cell r="D455" t="str">
            <v>52100200</v>
          </cell>
          <cell r="E455" t="str">
            <v>수송비-직송비-임시차운송비</v>
          </cell>
          <cell r="F455">
            <v>290000</v>
          </cell>
        </row>
        <row r="456">
          <cell r="B456" t="str">
            <v>42316</v>
          </cell>
          <cell r="C456" t="str">
            <v>웅진_수송운영코웨이</v>
          </cell>
          <cell r="D456" t="str">
            <v>52109900</v>
          </cell>
          <cell r="E456" t="str">
            <v>수송비-직송비-기타</v>
          </cell>
          <cell r="F456">
            <v>16798000</v>
          </cell>
        </row>
        <row r="457">
          <cell r="B457" t="str">
            <v>42317</v>
          </cell>
          <cell r="C457" t="str">
            <v>웅진_식품유구센터</v>
          </cell>
          <cell r="D457" t="str">
            <v>52100100</v>
          </cell>
          <cell r="E457" t="str">
            <v>수송비-직송비-고정차운송비</v>
          </cell>
          <cell r="F457">
            <v>63852000</v>
          </cell>
        </row>
        <row r="458">
          <cell r="D458" t="str">
            <v>52100200</v>
          </cell>
          <cell r="E458" t="str">
            <v>수송비-직송비-임시차운송비</v>
          </cell>
          <cell r="F458">
            <v>6420000</v>
          </cell>
        </row>
        <row r="459">
          <cell r="D459" t="str">
            <v>52109900</v>
          </cell>
          <cell r="E459" t="str">
            <v>수송비-직송비-기타</v>
          </cell>
          <cell r="F459">
            <v>48000</v>
          </cell>
        </row>
        <row r="460">
          <cell r="D460" t="str">
            <v>52150100</v>
          </cell>
          <cell r="E460" t="str">
            <v>수송비-반출비-고정차운송비</v>
          </cell>
          <cell r="F460">
            <v>102571000</v>
          </cell>
        </row>
        <row r="461">
          <cell r="D461" t="str">
            <v>52150200</v>
          </cell>
          <cell r="E461" t="str">
            <v>수송비-반출비-임시차운송비</v>
          </cell>
          <cell r="F461">
            <v>5364000</v>
          </cell>
        </row>
        <row r="462">
          <cell r="D462" t="str">
            <v>52300100</v>
          </cell>
          <cell r="E462" t="str">
            <v>수송비-공장하역비-전산관리직인건비</v>
          </cell>
          <cell r="F462">
            <v>0</v>
          </cell>
        </row>
        <row r="463">
          <cell r="D463" t="str">
            <v>52300200</v>
          </cell>
          <cell r="E463" t="str">
            <v>수송비-공장하역비-하역고정직인건비</v>
          </cell>
          <cell r="F463">
            <v>0</v>
          </cell>
        </row>
        <row r="464">
          <cell r="D464" t="str">
            <v>52300300</v>
          </cell>
          <cell r="E464" t="str">
            <v>수송비-공장하역비-하역임시직인건비</v>
          </cell>
          <cell r="F464">
            <v>0</v>
          </cell>
        </row>
        <row r="465">
          <cell r="D465" t="str">
            <v>52300400</v>
          </cell>
          <cell r="E465" t="str">
            <v>수송비-공장하역비-지게차사용료</v>
          </cell>
          <cell r="F465">
            <v>0</v>
          </cell>
        </row>
        <row r="466">
          <cell r="D466" t="str">
            <v>52300500</v>
          </cell>
          <cell r="E466" t="str">
            <v>수송비-공장하역비-지게차유류대</v>
          </cell>
          <cell r="F466">
            <v>0</v>
          </cell>
        </row>
        <row r="467">
          <cell r="D467" t="str">
            <v>52300600</v>
          </cell>
          <cell r="E467" t="str">
            <v>수송비-공장하역비-파렛트렌탈료</v>
          </cell>
          <cell r="F467">
            <v>58338928</v>
          </cell>
        </row>
        <row r="468">
          <cell r="B468" t="str">
            <v>42317</v>
          </cell>
          <cell r="C468" t="str">
            <v>웅진_식품유구센터</v>
          </cell>
          <cell r="D468" t="str">
            <v>52300800</v>
          </cell>
          <cell r="E468" t="str">
            <v>수송비-공장하역비-물류소모품비</v>
          </cell>
          <cell r="F468">
            <v>0</v>
          </cell>
        </row>
        <row r="469">
          <cell r="B469" t="str">
            <v>42318</v>
          </cell>
          <cell r="C469" t="str">
            <v>공동수송파트(타사)</v>
          </cell>
          <cell r="D469" t="str">
            <v>52100100</v>
          </cell>
          <cell r="E469" t="str">
            <v>수송비-직송비-고정차운송비</v>
          </cell>
          <cell r="F469">
            <v>542296107</v>
          </cell>
        </row>
        <row r="470">
          <cell r="D470" t="str">
            <v>52100200</v>
          </cell>
          <cell r="E470" t="str">
            <v>수송비-직송비-임시차운송비</v>
          </cell>
          <cell r="F470">
            <v>119078423</v>
          </cell>
        </row>
        <row r="471">
          <cell r="D471" t="str">
            <v>52109900</v>
          </cell>
          <cell r="E471" t="str">
            <v>수송비-직송비-기타</v>
          </cell>
          <cell r="F471">
            <v>1069498491</v>
          </cell>
        </row>
        <row r="472">
          <cell r="B472" t="str">
            <v>42318</v>
          </cell>
          <cell r="C472" t="str">
            <v>공동수송파트(타사)</v>
          </cell>
          <cell r="D472" t="str">
            <v>52150200</v>
          </cell>
          <cell r="E472" t="str">
            <v>수송비-반출비-임시차운송비</v>
          </cell>
          <cell r="F472">
            <v>4993000</v>
          </cell>
        </row>
        <row r="473">
          <cell r="B473" t="str">
            <v>42319</v>
          </cell>
          <cell r="C473" t="str">
            <v>인천멀티센터</v>
          </cell>
          <cell r="D473" t="str">
            <v>52100100</v>
          </cell>
          <cell r="E473" t="str">
            <v>수송비-직송비-고정차운송비</v>
          </cell>
          <cell r="F473">
            <v>82732000</v>
          </cell>
        </row>
        <row r="474">
          <cell r="D474" t="str">
            <v>52100200</v>
          </cell>
          <cell r="E474" t="str">
            <v>수송비-직송비-임시차운송비</v>
          </cell>
          <cell r="F474">
            <v>11020000</v>
          </cell>
        </row>
        <row r="475">
          <cell r="D475" t="str">
            <v>52109900</v>
          </cell>
          <cell r="E475" t="str">
            <v>수송비-직송비-기타</v>
          </cell>
          <cell r="F475">
            <v>0</v>
          </cell>
        </row>
        <row r="476">
          <cell r="D476" t="str">
            <v>52150100</v>
          </cell>
          <cell r="E476" t="str">
            <v>수송비-반출비-고정차운송비</v>
          </cell>
          <cell r="F476">
            <v>3935300</v>
          </cell>
        </row>
        <row r="477">
          <cell r="D477" t="str">
            <v>52150200</v>
          </cell>
          <cell r="E477" t="str">
            <v>수송비-반출비-임시차운송비</v>
          </cell>
          <cell r="F477">
            <v>923000</v>
          </cell>
        </row>
        <row r="478">
          <cell r="D478" t="str">
            <v>52300100</v>
          </cell>
          <cell r="E478" t="str">
            <v>수송비-공장하역비-전산관리직인건비</v>
          </cell>
          <cell r="F478">
            <v>7168404</v>
          </cell>
        </row>
        <row r="479">
          <cell r="D479" t="str">
            <v>52300200</v>
          </cell>
          <cell r="E479" t="str">
            <v>수송비-공장하역비-하역고정직인건비</v>
          </cell>
          <cell r="F479">
            <v>21983854</v>
          </cell>
        </row>
        <row r="480">
          <cell r="D480" t="str">
            <v>52300300</v>
          </cell>
          <cell r="E480" t="str">
            <v>수송비-공장하역비-하역임시직인건비</v>
          </cell>
          <cell r="F480">
            <v>0</v>
          </cell>
        </row>
        <row r="481">
          <cell r="D481" t="str">
            <v>52300400</v>
          </cell>
          <cell r="E481" t="str">
            <v>수송비-공장하역비-지게차사용료</v>
          </cell>
          <cell r="F481">
            <v>2936100</v>
          </cell>
        </row>
        <row r="482">
          <cell r="B482" t="str">
            <v>42319</v>
          </cell>
          <cell r="C482" t="str">
            <v>인천멀티센터</v>
          </cell>
          <cell r="D482" t="str">
            <v>52300600</v>
          </cell>
          <cell r="E482" t="str">
            <v>수송비-공장하역비-파렛트렌탈료</v>
          </cell>
          <cell r="F482">
            <v>0</v>
          </cell>
        </row>
        <row r="483">
          <cell r="B483" t="str">
            <v>42321</v>
          </cell>
          <cell r="C483" t="str">
            <v>CJ수송운영(공동)</v>
          </cell>
          <cell r="D483" t="str">
            <v>52100100</v>
          </cell>
          <cell r="E483" t="str">
            <v>수송비-직송비-고정차운송비</v>
          </cell>
          <cell r="F483">
            <v>357490976</v>
          </cell>
        </row>
        <row r="484">
          <cell r="D484" t="str">
            <v>52100200</v>
          </cell>
          <cell r="E484" t="str">
            <v>수송비-직송비-임시차운송비</v>
          </cell>
          <cell r="F484">
            <v>248419638</v>
          </cell>
        </row>
        <row r="485">
          <cell r="B485" t="str">
            <v>42321</v>
          </cell>
          <cell r="C485" t="str">
            <v>CJ수송운영(공동)</v>
          </cell>
          <cell r="D485" t="str">
            <v>52109900</v>
          </cell>
          <cell r="E485" t="str">
            <v>수송비-직송비-기타</v>
          </cell>
          <cell r="F485">
            <v>0</v>
          </cell>
        </row>
        <row r="486">
          <cell r="B486" t="str">
            <v>42323</v>
          </cell>
          <cell r="C486" t="str">
            <v>양산제조센터</v>
          </cell>
          <cell r="D486" t="str">
            <v>52150100</v>
          </cell>
          <cell r="E486" t="str">
            <v>수송비-반출비-고정차운송비</v>
          </cell>
          <cell r="F486">
            <v>5750000</v>
          </cell>
        </row>
        <row r="487">
          <cell r="A487" t="str">
            <v>2005</v>
          </cell>
          <cell r="B487" t="str">
            <v>42397</v>
          </cell>
          <cell r="C487" t="str">
            <v>예정원가용-수송</v>
          </cell>
          <cell r="D487" t="str">
            <v>52300200</v>
          </cell>
          <cell r="E487" t="str">
            <v>수송비-공장하역비-하역고정직인건비</v>
          </cell>
          <cell r="F487">
            <v>-79459350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11319412377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내역"/>
      <sheetName val="근로영수증"/>
      <sheetName val="퇴직영수증"/>
      <sheetName val="황충상퇴직"/>
      <sheetName val="comme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내역"/>
      <sheetName val="근로영수증"/>
      <sheetName val="퇴직영수증"/>
      <sheetName val="공성길퇴직"/>
      <sheetName val="공성길근로"/>
      <sheetName val="하영주근로"/>
      <sheetName val="이달우근로"/>
      <sheetName val="이달우퇴직"/>
      <sheetName val="임명희퇴직"/>
      <sheetName val="임명희근로"/>
      <sheetName val="comm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02월"/>
      <sheetName val="1403월"/>
      <sheetName val="기본정보"/>
      <sheetName val="연차관리"/>
      <sheetName val="사업체노동력조사(1월)"/>
      <sheetName val="코드정보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>
        <row r="3">
          <cell r="A3" t="str">
            <v>사번</v>
          </cell>
          <cell r="B3" t="str">
            <v>성명</v>
          </cell>
          <cell r="C3" t="str">
            <v>본부코드</v>
          </cell>
          <cell r="D3" t="str">
            <v>본부</v>
          </cell>
          <cell r="E3" t="str">
            <v>부서코드</v>
          </cell>
          <cell r="F3" t="str">
            <v>부서</v>
          </cell>
          <cell r="G3" t="str">
            <v>근무지</v>
          </cell>
          <cell r="H3" t="str">
            <v>직급</v>
          </cell>
          <cell r="I3" t="str">
            <v>직위</v>
          </cell>
          <cell r="J3" t="str">
            <v>주민번호</v>
          </cell>
          <cell r="K3" t="str">
            <v>나이</v>
          </cell>
          <cell r="L3" t="str">
            <v>성별</v>
          </cell>
          <cell r="M3" t="str">
            <v>입사일자</v>
          </cell>
          <cell r="O3" t="str">
            <v>근속기간</v>
          </cell>
          <cell r="P3" t="str">
            <v>학력</v>
          </cell>
          <cell r="Q3" t="str">
            <v>전경력</v>
          </cell>
        </row>
        <row r="4">
          <cell r="A4">
            <v>2006002</v>
          </cell>
          <cell r="B4" t="str">
            <v>이지호</v>
          </cell>
          <cell r="C4" t="str">
            <v>AC00</v>
          </cell>
          <cell r="D4" t="str">
            <v>글로벌사업본부</v>
          </cell>
          <cell r="E4" t="str">
            <v>AC30</v>
          </cell>
          <cell r="F4" t="str">
            <v>에콰도르TFT</v>
          </cell>
          <cell r="G4" t="str">
            <v>에콰도르</v>
          </cell>
          <cell r="H4">
            <v>3</v>
          </cell>
          <cell r="I4" t="str">
            <v>부장</v>
          </cell>
          <cell r="J4" t="str">
            <v>730717-1684118</v>
          </cell>
          <cell r="K4">
            <v>40</v>
          </cell>
          <cell r="L4" t="str">
            <v>남</v>
          </cell>
          <cell r="M4">
            <v>39035</v>
          </cell>
          <cell r="N4">
            <v>7</v>
          </cell>
          <cell r="O4" t="str">
            <v>7년1월</v>
          </cell>
          <cell r="P4">
            <v>2</v>
          </cell>
          <cell r="Q4" t="str">
            <v>6년8월</v>
          </cell>
        </row>
        <row r="5">
          <cell r="A5">
            <v>2007002</v>
          </cell>
          <cell r="B5" t="str">
            <v>박제성</v>
          </cell>
          <cell r="C5" t="str">
            <v>AA50</v>
          </cell>
          <cell r="D5" t="str">
            <v>경영지원본부</v>
          </cell>
          <cell r="E5" t="str">
            <v>AA26</v>
          </cell>
          <cell r="F5" t="str">
            <v>인사기획팀</v>
          </cell>
          <cell r="G5" t="str">
            <v>서울</v>
          </cell>
          <cell r="H5">
            <v>2</v>
          </cell>
          <cell r="I5" t="str">
            <v>부장</v>
          </cell>
          <cell r="J5" t="str">
            <v>690218-1574312</v>
          </cell>
          <cell r="K5">
            <v>44</v>
          </cell>
          <cell r="L5" t="str">
            <v>남</v>
          </cell>
          <cell r="M5">
            <v>39104</v>
          </cell>
          <cell r="N5">
            <v>6</v>
          </cell>
          <cell r="O5" t="str">
            <v>6년11월</v>
          </cell>
          <cell r="P5">
            <v>2</v>
          </cell>
          <cell r="Q5" t="str">
            <v>14년7월</v>
          </cell>
        </row>
        <row r="6">
          <cell r="A6">
            <v>2007003</v>
          </cell>
          <cell r="B6" t="str">
            <v>김명원</v>
          </cell>
          <cell r="C6" t="str">
            <v>AC00</v>
          </cell>
          <cell r="D6" t="str">
            <v>글로벌사업본부</v>
          </cell>
          <cell r="E6" t="str">
            <v>AC12</v>
          </cell>
          <cell r="F6" t="str">
            <v>IT관리팀</v>
          </cell>
          <cell r="G6" t="str">
            <v>서울</v>
          </cell>
          <cell r="H6">
            <v>3</v>
          </cell>
          <cell r="I6" t="str">
            <v>차장</v>
          </cell>
          <cell r="J6" t="str">
            <v>731231-1382510</v>
          </cell>
          <cell r="K6">
            <v>40</v>
          </cell>
          <cell r="L6" t="str">
            <v>남</v>
          </cell>
          <cell r="M6">
            <v>39142</v>
          </cell>
          <cell r="N6">
            <v>6</v>
          </cell>
          <cell r="O6" t="str">
            <v>6년9월</v>
          </cell>
          <cell r="P6">
            <v>2</v>
          </cell>
          <cell r="Q6" t="str">
            <v>7년0월</v>
          </cell>
        </row>
        <row r="7">
          <cell r="A7">
            <v>2007004</v>
          </cell>
          <cell r="B7" t="str">
            <v>이승호</v>
          </cell>
          <cell r="C7" t="str">
            <v>AB00</v>
          </cell>
          <cell r="D7" t="str">
            <v>국종망운영사업본부</v>
          </cell>
          <cell r="E7" t="str">
            <v>AB10</v>
          </cell>
          <cell r="F7" t="str">
            <v>국종망운영1팀</v>
          </cell>
          <cell r="G7" t="str">
            <v>대전</v>
          </cell>
          <cell r="H7">
            <v>3</v>
          </cell>
          <cell r="I7" t="str">
            <v>차장</v>
          </cell>
          <cell r="J7" t="str">
            <v>750106-1458614</v>
          </cell>
          <cell r="K7">
            <v>38</v>
          </cell>
          <cell r="L7" t="str">
            <v>남</v>
          </cell>
          <cell r="M7">
            <v>39142</v>
          </cell>
          <cell r="N7">
            <v>6</v>
          </cell>
          <cell r="O7" t="str">
            <v>6년9월</v>
          </cell>
          <cell r="P7">
            <v>2</v>
          </cell>
          <cell r="Q7" t="str">
            <v>4년5월</v>
          </cell>
        </row>
        <row r="8">
          <cell r="A8">
            <v>2007005</v>
          </cell>
          <cell r="B8" t="str">
            <v>김경환</v>
          </cell>
          <cell r="C8" t="str">
            <v>AC00</v>
          </cell>
          <cell r="D8" t="str">
            <v>글로벌사업본부</v>
          </cell>
          <cell r="E8" t="str">
            <v>AC50</v>
          </cell>
          <cell r="F8" t="str">
            <v>탄자니아TFT</v>
          </cell>
          <cell r="G8" t="str">
            <v>대전</v>
          </cell>
          <cell r="H8">
            <v>2</v>
          </cell>
          <cell r="I8" t="str">
            <v>부장</v>
          </cell>
          <cell r="J8" t="str">
            <v>620508-1695618</v>
          </cell>
          <cell r="K8">
            <v>51</v>
          </cell>
          <cell r="L8" t="str">
            <v>남</v>
          </cell>
          <cell r="M8">
            <v>39146</v>
          </cell>
          <cell r="N8">
            <v>6</v>
          </cell>
          <cell r="O8" t="str">
            <v>6년9월</v>
          </cell>
          <cell r="P8">
            <v>2</v>
          </cell>
          <cell r="Q8" t="str">
            <v>17년10월</v>
          </cell>
        </row>
        <row r="9">
          <cell r="A9">
            <v>2007006</v>
          </cell>
          <cell r="B9" t="str">
            <v>윤사무엘</v>
          </cell>
          <cell r="C9" t="str">
            <v>AC00</v>
          </cell>
          <cell r="D9" t="str">
            <v>글로벌사업본부</v>
          </cell>
          <cell r="E9" t="str">
            <v>AC70</v>
          </cell>
          <cell r="F9" t="str">
            <v>우즈벡TFT</v>
          </cell>
          <cell r="G9" t="str">
            <v>서울</v>
          </cell>
          <cell r="H9">
            <v>3</v>
          </cell>
          <cell r="I9" t="str">
            <v>차장</v>
          </cell>
          <cell r="J9" t="str">
            <v>730516-1254218</v>
          </cell>
          <cell r="K9">
            <v>40</v>
          </cell>
          <cell r="L9" t="str">
            <v>남</v>
          </cell>
          <cell r="M9">
            <v>39154</v>
          </cell>
          <cell r="N9">
            <v>6</v>
          </cell>
          <cell r="O9" t="str">
            <v>6년9월</v>
          </cell>
          <cell r="P9">
            <v>2</v>
          </cell>
          <cell r="Q9" t="str">
            <v>6년6월</v>
          </cell>
        </row>
        <row r="10">
          <cell r="A10">
            <v>2007009</v>
          </cell>
          <cell r="B10" t="str">
            <v>문다니엘</v>
          </cell>
          <cell r="C10" t="str">
            <v>AC00</v>
          </cell>
          <cell r="D10" t="str">
            <v>글로벌사업본부</v>
          </cell>
          <cell r="E10" t="str">
            <v>AC15</v>
          </cell>
          <cell r="F10" t="str">
            <v>마케팅팀</v>
          </cell>
          <cell r="G10" t="str">
            <v>서울</v>
          </cell>
          <cell r="H10">
            <v>5</v>
          </cell>
          <cell r="I10" t="str">
            <v>과장</v>
          </cell>
          <cell r="J10" t="str">
            <v>820627-5140279</v>
          </cell>
          <cell r="K10">
            <v>31</v>
          </cell>
          <cell r="L10" t="str">
            <v>여</v>
          </cell>
          <cell r="M10">
            <v>39252</v>
          </cell>
          <cell r="N10">
            <v>6</v>
          </cell>
          <cell r="O10" t="str">
            <v>6년6월</v>
          </cell>
          <cell r="P10">
            <v>2</v>
          </cell>
        </row>
        <row r="11">
          <cell r="A11">
            <v>2007010</v>
          </cell>
          <cell r="B11" t="str">
            <v>김정석</v>
          </cell>
          <cell r="C11" t="str">
            <v>AC00</v>
          </cell>
          <cell r="D11" t="str">
            <v>글로벌사업본부</v>
          </cell>
          <cell r="E11" t="str">
            <v>AC10</v>
          </cell>
          <cell r="F11" t="str">
            <v>컨설팅1팀</v>
          </cell>
          <cell r="G11" t="str">
            <v>서울</v>
          </cell>
          <cell r="H11">
            <v>4</v>
          </cell>
          <cell r="I11" t="str">
            <v>차장</v>
          </cell>
          <cell r="J11" t="str">
            <v>740517-1402719</v>
          </cell>
          <cell r="K11">
            <v>39</v>
          </cell>
          <cell r="L11" t="str">
            <v>남</v>
          </cell>
          <cell r="M11">
            <v>39275</v>
          </cell>
          <cell r="N11">
            <v>6</v>
          </cell>
          <cell r="O11" t="str">
            <v>6년5월</v>
          </cell>
          <cell r="P11">
            <v>1</v>
          </cell>
          <cell r="Q11" t="str">
            <v>5년1월</v>
          </cell>
        </row>
        <row r="12">
          <cell r="A12">
            <v>2007101</v>
          </cell>
          <cell r="B12" t="str">
            <v>안계순</v>
          </cell>
          <cell r="C12" t="str">
            <v>AB00</v>
          </cell>
          <cell r="D12" t="str">
            <v>국종망운영사업본부</v>
          </cell>
          <cell r="E12" t="str">
            <v>AB30</v>
          </cell>
          <cell r="F12" t="str">
            <v>기술지원센터</v>
          </cell>
          <cell r="G12" t="str">
            <v>대전</v>
          </cell>
          <cell r="H12" t="str">
            <v>상담직</v>
          </cell>
          <cell r="I12" t="str">
            <v>차장</v>
          </cell>
          <cell r="J12" t="str">
            <v>760123-2449627</v>
          </cell>
          <cell r="K12">
            <v>37</v>
          </cell>
          <cell r="L12" t="str">
            <v>여</v>
          </cell>
          <cell r="M12">
            <v>39083</v>
          </cell>
          <cell r="N12">
            <v>6</v>
          </cell>
          <cell r="O12" t="str">
            <v>6년11월</v>
          </cell>
          <cell r="P12">
            <v>2</v>
          </cell>
          <cell r="Q12" t="str">
            <v>10년0월</v>
          </cell>
        </row>
        <row r="13">
          <cell r="A13">
            <v>2007103</v>
          </cell>
          <cell r="B13" t="str">
            <v>오미정</v>
          </cell>
          <cell r="C13" t="str">
            <v>AB00</v>
          </cell>
          <cell r="D13" t="str">
            <v>국종망운영사업본부</v>
          </cell>
          <cell r="E13" t="str">
            <v>AB10</v>
          </cell>
          <cell r="F13" t="str">
            <v>국종망운영1팀</v>
          </cell>
          <cell r="G13" t="str">
            <v>대전</v>
          </cell>
          <cell r="H13">
            <v>4</v>
          </cell>
          <cell r="I13" t="str">
            <v>과장</v>
          </cell>
          <cell r="J13" t="str">
            <v>791004-2455618</v>
          </cell>
          <cell r="K13">
            <v>34</v>
          </cell>
          <cell r="L13" t="str">
            <v>여</v>
          </cell>
          <cell r="M13">
            <v>39083</v>
          </cell>
          <cell r="N13">
            <v>6</v>
          </cell>
          <cell r="O13" t="str">
            <v>6년11월</v>
          </cell>
          <cell r="P13">
            <v>2</v>
          </cell>
          <cell r="Q13" t="str">
            <v>3년7월</v>
          </cell>
        </row>
        <row r="14">
          <cell r="A14">
            <v>2007105</v>
          </cell>
          <cell r="B14" t="str">
            <v>정연화</v>
          </cell>
          <cell r="C14" t="str">
            <v>AB00</v>
          </cell>
          <cell r="D14" t="str">
            <v>국종망운영사업본부</v>
          </cell>
          <cell r="E14" t="str">
            <v>AB30</v>
          </cell>
          <cell r="F14" t="str">
            <v>기술지원센터</v>
          </cell>
          <cell r="G14" t="str">
            <v>대전</v>
          </cell>
          <cell r="H14" t="str">
            <v>상담직</v>
          </cell>
          <cell r="I14" t="str">
            <v>과장</v>
          </cell>
          <cell r="J14" t="str">
            <v>781215-2226715</v>
          </cell>
          <cell r="K14">
            <v>35</v>
          </cell>
          <cell r="L14" t="str">
            <v>여</v>
          </cell>
          <cell r="M14">
            <v>39083</v>
          </cell>
          <cell r="N14">
            <v>6</v>
          </cell>
          <cell r="O14" t="str">
            <v>6년11월</v>
          </cell>
          <cell r="P14">
            <v>2</v>
          </cell>
          <cell r="Q14" t="str">
            <v>5년11월</v>
          </cell>
        </row>
        <row r="15">
          <cell r="A15">
            <v>2007106</v>
          </cell>
          <cell r="B15" t="str">
            <v>지화진</v>
          </cell>
          <cell r="C15" t="str">
            <v>AB00</v>
          </cell>
          <cell r="D15" t="str">
            <v>국종망운영사업본부</v>
          </cell>
          <cell r="E15" t="str">
            <v>AB30</v>
          </cell>
          <cell r="F15" t="str">
            <v>기술지원센터</v>
          </cell>
          <cell r="G15" t="str">
            <v>대전</v>
          </cell>
          <cell r="H15" t="str">
            <v>상담직</v>
          </cell>
          <cell r="I15" t="str">
            <v>과장</v>
          </cell>
          <cell r="J15" t="str">
            <v>790615-2460711</v>
          </cell>
          <cell r="K15">
            <v>34</v>
          </cell>
          <cell r="L15" t="str">
            <v>여</v>
          </cell>
          <cell r="M15">
            <v>39083</v>
          </cell>
          <cell r="N15">
            <v>6</v>
          </cell>
          <cell r="O15" t="str">
            <v>6년11월</v>
          </cell>
          <cell r="P15">
            <v>2</v>
          </cell>
          <cell r="Q15" t="str">
            <v>4년0월</v>
          </cell>
        </row>
        <row r="16">
          <cell r="A16">
            <v>2007107</v>
          </cell>
          <cell r="B16" t="str">
            <v>이명주</v>
          </cell>
          <cell r="C16" t="str">
            <v>AB00</v>
          </cell>
          <cell r="D16" t="str">
            <v>국종망운영사업본부</v>
          </cell>
          <cell r="E16" t="str">
            <v>AB10</v>
          </cell>
          <cell r="F16" t="str">
            <v>국종망운영1팀</v>
          </cell>
          <cell r="G16" t="str">
            <v>대전</v>
          </cell>
          <cell r="H16">
            <v>4</v>
          </cell>
          <cell r="I16" t="str">
            <v>과장</v>
          </cell>
          <cell r="J16" t="str">
            <v>791010-2449421</v>
          </cell>
          <cell r="K16">
            <v>34</v>
          </cell>
          <cell r="L16" t="str">
            <v>여</v>
          </cell>
          <cell r="M16">
            <v>39083</v>
          </cell>
          <cell r="N16">
            <v>6</v>
          </cell>
          <cell r="O16" t="str">
            <v>6년11월</v>
          </cell>
          <cell r="P16">
            <v>2</v>
          </cell>
          <cell r="Q16" t="str">
            <v>5년7월</v>
          </cell>
        </row>
        <row r="17">
          <cell r="A17">
            <v>2007108</v>
          </cell>
          <cell r="B17" t="str">
            <v>양경희</v>
          </cell>
          <cell r="C17" t="str">
            <v>AB00</v>
          </cell>
          <cell r="D17" t="str">
            <v>국종망운영사업본부</v>
          </cell>
          <cell r="E17" t="str">
            <v>AB30</v>
          </cell>
          <cell r="F17" t="str">
            <v>기술지원센터</v>
          </cell>
          <cell r="G17" t="str">
            <v>대전</v>
          </cell>
          <cell r="H17" t="str">
            <v>상담직</v>
          </cell>
          <cell r="I17" t="str">
            <v>과장</v>
          </cell>
          <cell r="J17" t="str">
            <v>791117-2447017</v>
          </cell>
          <cell r="K17">
            <v>34</v>
          </cell>
          <cell r="L17" t="str">
            <v>여</v>
          </cell>
          <cell r="M17">
            <v>39083</v>
          </cell>
          <cell r="N17">
            <v>6</v>
          </cell>
          <cell r="O17" t="str">
            <v>6년11월</v>
          </cell>
          <cell r="P17">
            <v>2</v>
          </cell>
          <cell r="Q17" t="str">
            <v>2년6월</v>
          </cell>
        </row>
        <row r="18">
          <cell r="A18">
            <v>2007109</v>
          </cell>
          <cell r="B18" t="str">
            <v>이미화</v>
          </cell>
          <cell r="C18" t="str">
            <v>AB00</v>
          </cell>
          <cell r="D18" t="str">
            <v>국종망운영사업본부</v>
          </cell>
          <cell r="E18" t="str">
            <v>AB30</v>
          </cell>
          <cell r="F18" t="str">
            <v>기술지원센터</v>
          </cell>
          <cell r="G18" t="str">
            <v>대전</v>
          </cell>
          <cell r="H18" t="str">
            <v>상담직</v>
          </cell>
          <cell r="I18" t="str">
            <v>과장</v>
          </cell>
          <cell r="J18" t="str">
            <v>800425-2401011</v>
          </cell>
          <cell r="K18">
            <v>33</v>
          </cell>
          <cell r="L18" t="str">
            <v>여</v>
          </cell>
          <cell r="M18">
            <v>39083</v>
          </cell>
          <cell r="N18">
            <v>6</v>
          </cell>
          <cell r="O18" t="str">
            <v>6년11월</v>
          </cell>
          <cell r="P18">
            <v>2</v>
          </cell>
          <cell r="Q18" t="str">
            <v>3년10월</v>
          </cell>
        </row>
        <row r="19">
          <cell r="A19">
            <v>2007110</v>
          </cell>
          <cell r="B19" t="str">
            <v>유경애</v>
          </cell>
          <cell r="C19" t="str">
            <v>AB00</v>
          </cell>
          <cell r="D19" t="str">
            <v>국종망운영사업본부</v>
          </cell>
          <cell r="E19" t="str">
            <v>AB30</v>
          </cell>
          <cell r="F19" t="str">
            <v>기술지원센터</v>
          </cell>
          <cell r="G19" t="str">
            <v>대전</v>
          </cell>
          <cell r="H19" t="str">
            <v>상담직</v>
          </cell>
          <cell r="I19" t="str">
            <v>과장</v>
          </cell>
          <cell r="J19" t="str">
            <v>800809-2236816</v>
          </cell>
          <cell r="K19">
            <v>33</v>
          </cell>
          <cell r="L19" t="str">
            <v>여</v>
          </cell>
          <cell r="M19">
            <v>39083</v>
          </cell>
          <cell r="N19">
            <v>6</v>
          </cell>
          <cell r="O19" t="str">
            <v>6년11월</v>
          </cell>
          <cell r="P19">
            <v>2</v>
          </cell>
          <cell r="Q19" t="str">
            <v>1년10월</v>
          </cell>
        </row>
        <row r="20">
          <cell r="A20">
            <v>2007112</v>
          </cell>
          <cell r="B20" t="str">
            <v>박경신</v>
          </cell>
          <cell r="C20" t="str">
            <v>AB00</v>
          </cell>
          <cell r="D20" t="str">
            <v>국종망운영사업본부</v>
          </cell>
          <cell r="E20" t="str">
            <v>AB30</v>
          </cell>
          <cell r="F20" t="str">
            <v>기술지원센터</v>
          </cell>
          <cell r="G20" t="str">
            <v>대전</v>
          </cell>
          <cell r="H20" t="str">
            <v>상담직</v>
          </cell>
          <cell r="I20" t="str">
            <v>대리</v>
          </cell>
          <cell r="J20" t="str">
            <v>831108-2524719</v>
          </cell>
          <cell r="K20">
            <v>30</v>
          </cell>
          <cell r="L20" t="str">
            <v>여</v>
          </cell>
          <cell r="M20">
            <v>39083</v>
          </cell>
          <cell r="N20">
            <v>6</v>
          </cell>
          <cell r="O20" t="str">
            <v>6년11월</v>
          </cell>
          <cell r="P20">
            <v>2</v>
          </cell>
          <cell r="Q20" t="str">
            <v>2년0월</v>
          </cell>
        </row>
        <row r="21">
          <cell r="A21">
            <v>2007113</v>
          </cell>
          <cell r="B21" t="str">
            <v>명지영</v>
          </cell>
          <cell r="C21" t="str">
            <v>AB00</v>
          </cell>
          <cell r="D21" t="str">
            <v>국종망운영사업본부</v>
          </cell>
          <cell r="E21" t="str">
            <v>AB30</v>
          </cell>
          <cell r="F21" t="str">
            <v>기술지원센터</v>
          </cell>
          <cell r="G21" t="str">
            <v>대전</v>
          </cell>
          <cell r="H21" t="str">
            <v>상담직</v>
          </cell>
          <cell r="I21" t="str">
            <v>대리</v>
          </cell>
          <cell r="J21" t="str">
            <v>791212-2070310</v>
          </cell>
          <cell r="K21">
            <v>34</v>
          </cell>
          <cell r="L21" t="str">
            <v>여</v>
          </cell>
          <cell r="M21">
            <v>39083</v>
          </cell>
          <cell r="N21">
            <v>6</v>
          </cell>
          <cell r="O21" t="str">
            <v>6년11월</v>
          </cell>
          <cell r="P21">
            <v>2</v>
          </cell>
          <cell r="Q21" t="str">
            <v>2년5월</v>
          </cell>
        </row>
        <row r="22">
          <cell r="A22">
            <v>2007116</v>
          </cell>
          <cell r="B22" t="str">
            <v>차경은</v>
          </cell>
          <cell r="C22" t="str">
            <v>AB00</v>
          </cell>
          <cell r="D22" t="str">
            <v>국종망운영사업본부</v>
          </cell>
          <cell r="E22" t="str">
            <v>AB30</v>
          </cell>
          <cell r="F22" t="str">
            <v>기술지원센터</v>
          </cell>
          <cell r="G22" t="str">
            <v>대전</v>
          </cell>
          <cell r="H22" t="str">
            <v>상담직</v>
          </cell>
          <cell r="I22" t="str">
            <v>대리</v>
          </cell>
          <cell r="J22" t="str">
            <v>820626-2476216</v>
          </cell>
          <cell r="K22">
            <v>31</v>
          </cell>
          <cell r="L22" t="str">
            <v>여</v>
          </cell>
          <cell r="M22">
            <v>39083</v>
          </cell>
          <cell r="N22">
            <v>6</v>
          </cell>
          <cell r="O22" t="str">
            <v>6년11월</v>
          </cell>
          <cell r="P22">
            <v>2</v>
          </cell>
          <cell r="Q22" t="str">
            <v>1년6월</v>
          </cell>
        </row>
        <row r="23">
          <cell r="A23">
            <v>2007117</v>
          </cell>
          <cell r="B23" t="str">
            <v>이향순</v>
          </cell>
          <cell r="C23" t="str">
            <v>AB00</v>
          </cell>
          <cell r="D23" t="str">
            <v>국종망운영사업본부</v>
          </cell>
          <cell r="E23" t="str">
            <v>AB30</v>
          </cell>
          <cell r="F23" t="str">
            <v>기술지원센터</v>
          </cell>
          <cell r="G23" t="str">
            <v>대전</v>
          </cell>
          <cell r="H23" t="str">
            <v>상담직</v>
          </cell>
          <cell r="I23" t="str">
            <v>대리</v>
          </cell>
          <cell r="J23" t="str">
            <v>840828-2454613</v>
          </cell>
          <cell r="K23">
            <v>29</v>
          </cell>
          <cell r="L23" t="str">
            <v>여</v>
          </cell>
          <cell r="M23">
            <v>39083</v>
          </cell>
          <cell r="N23">
            <v>6</v>
          </cell>
          <cell r="O23" t="str">
            <v>6년11월</v>
          </cell>
          <cell r="P23">
            <v>2</v>
          </cell>
          <cell r="Q23" t="str">
            <v>0년9월</v>
          </cell>
        </row>
        <row r="24">
          <cell r="A24">
            <v>2007118</v>
          </cell>
          <cell r="B24" t="str">
            <v>권혜선</v>
          </cell>
          <cell r="C24" t="str">
            <v>AB00</v>
          </cell>
          <cell r="D24" t="str">
            <v>국종망운영사업본부</v>
          </cell>
          <cell r="E24" t="str">
            <v>AB20</v>
          </cell>
          <cell r="F24" t="str">
            <v>국종망운영2팀</v>
          </cell>
          <cell r="G24" t="str">
            <v>대전</v>
          </cell>
          <cell r="H24">
            <v>5</v>
          </cell>
          <cell r="I24" t="str">
            <v>대리</v>
          </cell>
          <cell r="J24" t="str">
            <v>841111-2841213</v>
          </cell>
          <cell r="K24">
            <v>29</v>
          </cell>
          <cell r="L24" t="str">
            <v>여</v>
          </cell>
          <cell r="M24">
            <v>39083</v>
          </cell>
          <cell r="N24">
            <v>6</v>
          </cell>
          <cell r="O24" t="str">
            <v>6년11월</v>
          </cell>
          <cell r="P24">
            <v>2</v>
          </cell>
        </row>
        <row r="25">
          <cell r="A25">
            <v>2008003</v>
          </cell>
          <cell r="B25" t="str">
            <v>조형상</v>
          </cell>
          <cell r="C25" t="str">
            <v>AB00</v>
          </cell>
          <cell r="D25" t="str">
            <v>국종망운영사업본부</v>
          </cell>
          <cell r="E25" t="str">
            <v>AB10</v>
          </cell>
          <cell r="F25" t="str">
            <v>국종망운영1팀</v>
          </cell>
          <cell r="G25" t="str">
            <v>대전</v>
          </cell>
          <cell r="H25">
            <v>5</v>
          </cell>
          <cell r="I25" t="str">
            <v>과장</v>
          </cell>
          <cell r="J25" t="str">
            <v>800511-1400818</v>
          </cell>
          <cell r="K25">
            <v>33</v>
          </cell>
          <cell r="L25" t="str">
            <v>남</v>
          </cell>
          <cell r="M25">
            <v>39496</v>
          </cell>
          <cell r="N25">
            <v>5</v>
          </cell>
          <cell r="O25" t="str">
            <v>5년10월</v>
          </cell>
          <cell r="P25">
            <v>2</v>
          </cell>
        </row>
        <row r="26">
          <cell r="A26">
            <v>2008004</v>
          </cell>
          <cell r="B26" t="str">
            <v>정승훈</v>
          </cell>
          <cell r="C26" t="str">
            <v>AB00</v>
          </cell>
          <cell r="D26" t="str">
            <v>국종망운영사업본부</v>
          </cell>
          <cell r="E26" t="str">
            <v>AB20</v>
          </cell>
          <cell r="F26" t="str">
            <v>국종망운영2팀</v>
          </cell>
          <cell r="G26" t="str">
            <v>대전</v>
          </cell>
          <cell r="H26">
            <v>5</v>
          </cell>
          <cell r="I26" t="str">
            <v>과장</v>
          </cell>
          <cell r="J26" t="str">
            <v>820102-1489811</v>
          </cell>
          <cell r="K26">
            <v>31</v>
          </cell>
          <cell r="L26" t="str">
            <v>남</v>
          </cell>
          <cell r="M26">
            <v>39496</v>
          </cell>
          <cell r="N26">
            <v>5</v>
          </cell>
          <cell r="O26" t="str">
            <v>5년10월</v>
          </cell>
          <cell r="P26">
            <v>2</v>
          </cell>
        </row>
        <row r="27">
          <cell r="A27">
            <v>2008005</v>
          </cell>
          <cell r="B27" t="str">
            <v>서세덕</v>
          </cell>
          <cell r="C27" t="str">
            <v>AB00</v>
          </cell>
          <cell r="D27" t="str">
            <v>국종망운영사업본부</v>
          </cell>
          <cell r="E27" t="str">
            <v>AB10</v>
          </cell>
          <cell r="F27" t="str">
            <v>국종망운영1팀</v>
          </cell>
          <cell r="G27" t="str">
            <v>대전</v>
          </cell>
          <cell r="H27">
            <v>5</v>
          </cell>
          <cell r="I27" t="str">
            <v>과장</v>
          </cell>
          <cell r="J27" t="str">
            <v>820630-1547915</v>
          </cell>
          <cell r="K27">
            <v>31</v>
          </cell>
          <cell r="L27" t="str">
            <v>남</v>
          </cell>
          <cell r="M27">
            <v>39496</v>
          </cell>
          <cell r="N27">
            <v>5</v>
          </cell>
          <cell r="O27" t="str">
            <v>5년10월</v>
          </cell>
          <cell r="P27">
            <v>2</v>
          </cell>
        </row>
        <row r="28">
          <cell r="A28">
            <v>2008008</v>
          </cell>
          <cell r="B28" t="str">
            <v>강문식</v>
          </cell>
          <cell r="C28" t="str">
            <v>AB00</v>
          </cell>
          <cell r="D28" t="str">
            <v>국종망운영사업본부</v>
          </cell>
          <cell r="E28" t="str">
            <v>AB20</v>
          </cell>
          <cell r="F28" t="str">
            <v>국종망운영2팀</v>
          </cell>
          <cell r="G28" t="str">
            <v>대전</v>
          </cell>
          <cell r="H28">
            <v>3</v>
          </cell>
          <cell r="I28" t="str">
            <v>차장</v>
          </cell>
          <cell r="J28" t="str">
            <v>740119-1452421</v>
          </cell>
          <cell r="K28">
            <v>39</v>
          </cell>
          <cell r="L28" t="str">
            <v>남</v>
          </cell>
          <cell r="M28">
            <v>39508</v>
          </cell>
          <cell r="N28">
            <v>5</v>
          </cell>
          <cell r="O28" t="str">
            <v>5년9월</v>
          </cell>
          <cell r="P28">
            <v>2</v>
          </cell>
          <cell r="Q28" t="str">
            <v>5년11월</v>
          </cell>
        </row>
        <row r="29">
          <cell r="A29">
            <v>2008010</v>
          </cell>
          <cell r="B29" t="str">
            <v>송형필</v>
          </cell>
          <cell r="C29" t="str">
            <v>AB00</v>
          </cell>
          <cell r="D29" t="str">
            <v>국종망운영사업본부</v>
          </cell>
          <cell r="E29" t="str">
            <v>AB10</v>
          </cell>
          <cell r="F29" t="str">
            <v>국종망운영1팀</v>
          </cell>
          <cell r="G29" t="str">
            <v>대전</v>
          </cell>
          <cell r="H29">
            <v>2</v>
          </cell>
          <cell r="I29" t="str">
            <v>부장</v>
          </cell>
          <cell r="J29" t="str">
            <v>710511-1543813</v>
          </cell>
          <cell r="K29">
            <v>42</v>
          </cell>
          <cell r="L29" t="str">
            <v>남</v>
          </cell>
          <cell r="M29">
            <v>39517</v>
          </cell>
          <cell r="N29">
            <v>5</v>
          </cell>
          <cell r="O29" t="str">
            <v>5년9월</v>
          </cell>
          <cell r="P29">
            <v>2</v>
          </cell>
          <cell r="Q29" t="str">
            <v>11년0월</v>
          </cell>
        </row>
        <row r="30">
          <cell r="A30">
            <v>2008011</v>
          </cell>
          <cell r="B30" t="str">
            <v>이주형</v>
          </cell>
          <cell r="C30" t="str">
            <v>AC00</v>
          </cell>
          <cell r="D30" t="str">
            <v>글로벌사업본부</v>
          </cell>
          <cell r="E30" t="str">
            <v>AC20</v>
          </cell>
          <cell r="F30" t="str">
            <v>기획관리팀</v>
          </cell>
          <cell r="G30" t="str">
            <v>서울</v>
          </cell>
          <cell r="H30">
            <v>4</v>
          </cell>
          <cell r="I30" t="str">
            <v>차장</v>
          </cell>
          <cell r="J30" t="str">
            <v>750828-1120611</v>
          </cell>
          <cell r="K30">
            <v>38</v>
          </cell>
          <cell r="L30" t="str">
            <v>남</v>
          </cell>
          <cell r="M30">
            <v>39527</v>
          </cell>
          <cell r="N30">
            <v>5</v>
          </cell>
          <cell r="O30" t="str">
            <v>5년9월</v>
          </cell>
          <cell r="P30">
            <v>2</v>
          </cell>
          <cell r="Q30" t="str">
            <v>4년7월</v>
          </cell>
        </row>
        <row r="31">
          <cell r="A31">
            <v>2008013</v>
          </cell>
          <cell r="B31" t="str">
            <v>이장학</v>
          </cell>
          <cell r="C31" t="str">
            <v>AA50</v>
          </cell>
          <cell r="D31" t="str">
            <v>경영지원본부</v>
          </cell>
          <cell r="E31" t="str">
            <v>AA30</v>
          </cell>
          <cell r="F31" t="str">
            <v>총무회계팀</v>
          </cell>
          <cell r="G31" t="str">
            <v>서울</v>
          </cell>
          <cell r="H31">
            <v>4</v>
          </cell>
          <cell r="I31" t="str">
            <v>차장</v>
          </cell>
          <cell r="J31" t="str">
            <v>730113-1069312</v>
          </cell>
          <cell r="K31">
            <v>40</v>
          </cell>
          <cell r="L31" t="str">
            <v>남</v>
          </cell>
          <cell r="M31">
            <v>39559</v>
          </cell>
          <cell r="N31">
            <v>5</v>
          </cell>
          <cell r="O31" t="str">
            <v>5년8월</v>
          </cell>
          <cell r="P31">
            <v>2</v>
          </cell>
          <cell r="Q31" t="str">
            <v>12년9월</v>
          </cell>
        </row>
        <row r="32">
          <cell r="A32">
            <v>2008014</v>
          </cell>
          <cell r="B32" t="str">
            <v>이병걸</v>
          </cell>
          <cell r="C32" t="str">
            <v>AA50</v>
          </cell>
          <cell r="D32" t="str">
            <v>경영지원본부</v>
          </cell>
          <cell r="E32" t="str">
            <v>AA30</v>
          </cell>
          <cell r="F32" t="str">
            <v>총무회계팀</v>
          </cell>
          <cell r="G32" t="str">
            <v>서울</v>
          </cell>
          <cell r="H32" t="str">
            <v>기능직</v>
          </cell>
          <cell r="I32" t="str">
            <v>차장</v>
          </cell>
          <cell r="J32" t="str">
            <v>570808-1046319</v>
          </cell>
          <cell r="K32">
            <v>56</v>
          </cell>
          <cell r="L32" t="str">
            <v>남</v>
          </cell>
          <cell r="M32">
            <v>39559</v>
          </cell>
          <cell r="N32">
            <v>5</v>
          </cell>
          <cell r="O32" t="str">
            <v>5년8월</v>
          </cell>
          <cell r="P32">
            <v>4</v>
          </cell>
          <cell r="Q32" t="str">
            <v>23년5월</v>
          </cell>
        </row>
        <row r="33">
          <cell r="A33">
            <v>2008015</v>
          </cell>
          <cell r="B33" t="str">
            <v>차승현</v>
          </cell>
          <cell r="C33" t="str">
            <v>AC00</v>
          </cell>
          <cell r="D33" t="str">
            <v>글로벌사업본부</v>
          </cell>
          <cell r="E33" t="str">
            <v>AC11</v>
          </cell>
          <cell r="F33" t="str">
            <v>컨설팅2팀</v>
          </cell>
          <cell r="G33" t="str">
            <v>서울</v>
          </cell>
          <cell r="H33">
            <v>4</v>
          </cell>
          <cell r="I33" t="str">
            <v>차장</v>
          </cell>
          <cell r="J33" t="str">
            <v>770811-1156218</v>
          </cell>
          <cell r="K33">
            <v>36</v>
          </cell>
          <cell r="L33" t="str">
            <v>남</v>
          </cell>
          <cell r="M33">
            <v>40910</v>
          </cell>
          <cell r="N33">
            <v>1</v>
          </cell>
          <cell r="O33" t="str">
            <v>1년11월</v>
          </cell>
          <cell r="P33">
            <v>1</v>
          </cell>
          <cell r="Q33" t="str">
            <v>1년9월</v>
          </cell>
        </row>
        <row r="34">
          <cell r="A34">
            <v>2008016</v>
          </cell>
          <cell r="B34" t="str">
            <v>김선주</v>
          </cell>
          <cell r="C34" t="str">
            <v>AC00</v>
          </cell>
          <cell r="D34" t="str">
            <v>글로벌사업본부</v>
          </cell>
          <cell r="E34" t="str">
            <v>AC40</v>
          </cell>
          <cell r="F34" t="str">
            <v>네팔TFT</v>
          </cell>
          <cell r="G34" t="str">
            <v>서울</v>
          </cell>
          <cell r="H34">
            <v>4</v>
          </cell>
          <cell r="I34" t="str">
            <v>차장</v>
          </cell>
          <cell r="J34" t="str">
            <v>770321-1183517</v>
          </cell>
          <cell r="K34">
            <v>36</v>
          </cell>
          <cell r="L34" t="str">
            <v>남</v>
          </cell>
          <cell r="M34">
            <v>39601</v>
          </cell>
          <cell r="N34">
            <v>5</v>
          </cell>
          <cell r="O34" t="str">
            <v>5년6월</v>
          </cell>
          <cell r="P34">
            <v>1</v>
          </cell>
        </row>
        <row r="35">
          <cell r="A35">
            <v>2008020</v>
          </cell>
          <cell r="B35" t="str">
            <v>최진아</v>
          </cell>
          <cell r="C35" t="str">
            <v>AB00</v>
          </cell>
          <cell r="D35" t="str">
            <v>국종망운영사업본부</v>
          </cell>
          <cell r="E35" t="str">
            <v>AB20</v>
          </cell>
          <cell r="F35" t="str">
            <v>국종망운영2팀</v>
          </cell>
          <cell r="G35" t="str">
            <v>대전</v>
          </cell>
          <cell r="H35">
            <v>5</v>
          </cell>
          <cell r="I35" t="str">
            <v>과장</v>
          </cell>
          <cell r="J35" t="str">
            <v>860611-2540911</v>
          </cell>
          <cell r="K35">
            <v>27</v>
          </cell>
          <cell r="L35" t="str">
            <v>여</v>
          </cell>
          <cell r="M35">
            <v>39699</v>
          </cell>
          <cell r="N35">
            <v>5</v>
          </cell>
          <cell r="O35" t="str">
            <v>5년3월</v>
          </cell>
          <cell r="P35">
            <v>2</v>
          </cell>
        </row>
        <row r="36">
          <cell r="A36">
            <v>2008103</v>
          </cell>
          <cell r="B36" t="str">
            <v>황희진</v>
          </cell>
          <cell r="C36" t="str">
            <v>AC00</v>
          </cell>
          <cell r="D36" t="str">
            <v>글로벌사업본부</v>
          </cell>
          <cell r="E36" t="str">
            <v>AC50</v>
          </cell>
          <cell r="F36" t="str">
            <v>탄자니아TFT</v>
          </cell>
          <cell r="G36" t="str">
            <v>대전</v>
          </cell>
          <cell r="H36">
            <v>5</v>
          </cell>
          <cell r="I36" t="str">
            <v>대리</v>
          </cell>
          <cell r="J36" t="str">
            <v>840208-2449513</v>
          </cell>
          <cell r="K36">
            <v>29</v>
          </cell>
          <cell r="L36" t="str">
            <v>여</v>
          </cell>
          <cell r="M36">
            <v>39496</v>
          </cell>
          <cell r="N36">
            <v>5</v>
          </cell>
          <cell r="O36" t="str">
            <v>5년10월</v>
          </cell>
          <cell r="P36">
            <v>3</v>
          </cell>
          <cell r="Q36" t="str">
            <v>3년9월</v>
          </cell>
        </row>
        <row r="37">
          <cell r="A37">
            <v>2008111</v>
          </cell>
          <cell r="B37" t="str">
            <v>임영숙</v>
          </cell>
          <cell r="C37" t="str">
            <v>AB00</v>
          </cell>
          <cell r="D37" t="str">
            <v>국종망운영사업본부</v>
          </cell>
          <cell r="E37" t="str">
            <v>AB30</v>
          </cell>
          <cell r="F37" t="str">
            <v>기술지원센터</v>
          </cell>
          <cell r="G37" t="str">
            <v>대전</v>
          </cell>
          <cell r="H37" t="str">
            <v>상담직</v>
          </cell>
          <cell r="I37" t="str">
            <v>대리</v>
          </cell>
          <cell r="J37" t="str">
            <v>790117-2631722</v>
          </cell>
          <cell r="K37">
            <v>34</v>
          </cell>
          <cell r="L37" t="str">
            <v>여</v>
          </cell>
          <cell r="M37">
            <v>39811</v>
          </cell>
          <cell r="N37">
            <v>5</v>
          </cell>
          <cell r="O37" t="str">
            <v>5년0월</v>
          </cell>
          <cell r="P37">
            <v>2</v>
          </cell>
        </row>
        <row r="38">
          <cell r="A38">
            <v>2008112</v>
          </cell>
          <cell r="B38" t="str">
            <v>김지희</v>
          </cell>
          <cell r="C38" t="str">
            <v>AB00</v>
          </cell>
          <cell r="D38" t="str">
            <v>국종망운영사업본부</v>
          </cell>
          <cell r="E38" t="str">
            <v>AB30</v>
          </cell>
          <cell r="F38" t="str">
            <v>기술지원센터</v>
          </cell>
          <cell r="G38" t="str">
            <v>대전</v>
          </cell>
          <cell r="H38" t="str">
            <v>상담직</v>
          </cell>
          <cell r="I38" t="str">
            <v>대리</v>
          </cell>
          <cell r="J38" t="str">
            <v>820503-2400412</v>
          </cell>
          <cell r="K38">
            <v>31</v>
          </cell>
          <cell r="L38" t="str">
            <v>여</v>
          </cell>
          <cell r="M38">
            <v>39811</v>
          </cell>
          <cell r="N38">
            <v>5</v>
          </cell>
          <cell r="O38" t="str">
            <v>5년0월</v>
          </cell>
          <cell r="P38">
            <v>2</v>
          </cell>
          <cell r="Q38" t="str">
            <v>3년5월</v>
          </cell>
        </row>
        <row r="39">
          <cell r="A39">
            <v>2008113</v>
          </cell>
          <cell r="B39" t="str">
            <v>이홍이</v>
          </cell>
          <cell r="C39" t="str">
            <v>AB00</v>
          </cell>
          <cell r="D39" t="str">
            <v>국종망운영사업본부</v>
          </cell>
          <cell r="E39" t="str">
            <v>AB30</v>
          </cell>
          <cell r="F39" t="str">
            <v>기술지원센터</v>
          </cell>
          <cell r="G39" t="str">
            <v>대전</v>
          </cell>
          <cell r="H39" t="str">
            <v>상담직</v>
          </cell>
          <cell r="I39" t="str">
            <v>대리</v>
          </cell>
          <cell r="J39" t="str">
            <v>850413-2800517</v>
          </cell>
          <cell r="K39">
            <v>28</v>
          </cell>
          <cell r="L39" t="str">
            <v>여</v>
          </cell>
          <cell r="M39">
            <v>39811</v>
          </cell>
          <cell r="N39">
            <v>5</v>
          </cell>
          <cell r="O39" t="str">
            <v>5년0월</v>
          </cell>
          <cell r="P39">
            <v>3</v>
          </cell>
        </row>
        <row r="40">
          <cell r="A40">
            <v>2009001</v>
          </cell>
          <cell r="B40" t="str">
            <v>조영주</v>
          </cell>
          <cell r="C40" t="str">
            <v>AB00</v>
          </cell>
          <cell r="D40" t="str">
            <v>국종망운영사업본부</v>
          </cell>
          <cell r="E40" t="str">
            <v>AB10</v>
          </cell>
          <cell r="F40" t="str">
            <v>국종망운영1팀</v>
          </cell>
          <cell r="G40" t="str">
            <v>대전</v>
          </cell>
          <cell r="H40">
            <v>3</v>
          </cell>
          <cell r="I40" t="str">
            <v>부장</v>
          </cell>
          <cell r="J40" t="str">
            <v>670906-2449616</v>
          </cell>
          <cell r="K40">
            <v>46</v>
          </cell>
          <cell r="L40" t="str">
            <v>여</v>
          </cell>
          <cell r="M40">
            <v>39835</v>
          </cell>
          <cell r="N40">
            <v>4</v>
          </cell>
          <cell r="O40" t="str">
            <v>4년11월</v>
          </cell>
          <cell r="P40">
            <v>1</v>
          </cell>
          <cell r="Q40" t="str">
            <v>17년10월</v>
          </cell>
        </row>
        <row r="41">
          <cell r="A41">
            <v>2009006</v>
          </cell>
          <cell r="B41" t="str">
            <v>양광모</v>
          </cell>
          <cell r="C41" t="str">
            <v>AC00</v>
          </cell>
          <cell r="D41" t="str">
            <v>글로벌사업본부</v>
          </cell>
          <cell r="E41" t="str">
            <v>AC50</v>
          </cell>
          <cell r="F41" t="str">
            <v>탄자니아TFT</v>
          </cell>
          <cell r="G41" t="str">
            <v>대전</v>
          </cell>
          <cell r="H41">
            <v>4</v>
          </cell>
          <cell r="I41" t="str">
            <v>과장</v>
          </cell>
          <cell r="J41" t="str">
            <v>790104-1408935</v>
          </cell>
          <cell r="K41">
            <v>34</v>
          </cell>
          <cell r="L41" t="str">
            <v>남</v>
          </cell>
          <cell r="M41">
            <v>39874</v>
          </cell>
          <cell r="N41">
            <v>4</v>
          </cell>
          <cell r="O41" t="str">
            <v>4년9월</v>
          </cell>
          <cell r="P41">
            <v>2</v>
          </cell>
          <cell r="Q41" t="str">
            <v>2년9월</v>
          </cell>
        </row>
        <row r="42">
          <cell r="A42">
            <v>2009009</v>
          </cell>
          <cell r="B42" t="str">
            <v>김서렴</v>
          </cell>
          <cell r="C42" t="str">
            <v>AC00</v>
          </cell>
          <cell r="D42" t="str">
            <v>글로벌사업본부</v>
          </cell>
          <cell r="E42" t="str">
            <v>AC50</v>
          </cell>
          <cell r="F42" t="str">
            <v>탄자니아TFT</v>
          </cell>
          <cell r="G42" t="str">
            <v>대전</v>
          </cell>
          <cell r="H42">
            <v>5</v>
          </cell>
          <cell r="I42" t="str">
            <v>과장</v>
          </cell>
          <cell r="J42" t="str">
            <v>800807-1810817</v>
          </cell>
          <cell r="K42">
            <v>33</v>
          </cell>
          <cell r="L42" t="str">
            <v>남</v>
          </cell>
          <cell r="M42">
            <v>39916</v>
          </cell>
          <cell r="N42">
            <v>4</v>
          </cell>
          <cell r="O42" t="str">
            <v>4년8월</v>
          </cell>
          <cell r="P42">
            <v>2</v>
          </cell>
          <cell r="Q42" t="str">
            <v>2년9월</v>
          </cell>
        </row>
        <row r="43">
          <cell r="A43">
            <v>2009011</v>
          </cell>
          <cell r="B43" t="str">
            <v>유승엽</v>
          </cell>
          <cell r="C43" t="str">
            <v>AB00</v>
          </cell>
          <cell r="D43" t="str">
            <v>국종망운영사업본부</v>
          </cell>
          <cell r="E43" t="str">
            <v>AB10</v>
          </cell>
          <cell r="F43" t="str">
            <v>국종망운영1팀</v>
          </cell>
          <cell r="G43" t="str">
            <v>대전</v>
          </cell>
          <cell r="H43">
            <v>5</v>
          </cell>
          <cell r="I43" t="str">
            <v>대리</v>
          </cell>
          <cell r="J43" t="str">
            <v>801215-1120611</v>
          </cell>
          <cell r="K43">
            <v>33</v>
          </cell>
          <cell r="L43" t="str">
            <v>남</v>
          </cell>
          <cell r="M43">
            <v>39923</v>
          </cell>
          <cell r="N43">
            <v>4</v>
          </cell>
          <cell r="O43" t="str">
            <v>4년8월</v>
          </cell>
          <cell r="P43">
            <v>2</v>
          </cell>
        </row>
        <row r="44">
          <cell r="A44">
            <v>2009016</v>
          </cell>
          <cell r="B44" t="str">
            <v>방혜림</v>
          </cell>
          <cell r="C44" t="str">
            <v>AC00</v>
          </cell>
          <cell r="D44" t="str">
            <v>글로벌사업본부</v>
          </cell>
          <cell r="E44" t="str">
            <v>AC15</v>
          </cell>
          <cell r="F44" t="str">
            <v>마케팅팀</v>
          </cell>
          <cell r="G44" t="str">
            <v>서울</v>
          </cell>
          <cell r="H44">
            <v>5</v>
          </cell>
          <cell r="I44" t="str">
            <v>과장</v>
          </cell>
          <cell r="J44" t="str">
            <v>840814-2010621</v>
          </cell>
          <cell r="K44">
            <v>29</v>
          </cell>
          <cell r="L44" t="str">
            <v>여</v>
          </cell>
          <cell r="M44">
            <v>39972</v>
          </cell>
          <cell r="N44">
            <v>4</v>
          </cell>
          <cell r="O44" t="str">
            <v>4년6월</v>
          </cell>
          <cell r="P44">
            <v>2</v>
          </cell>
          <cell r="Q44" t="str">
            <v>11월</v>
          </cell>
        </row>
        <row r="45">
          <cell r="A45">
            <v>2009020</v>
          </cell>
          <cell r="B45" t="str">
            <v>한민규</v>
          </cell>
          <cell r="C45" t="str">
            <v>AC00</v>
          </cell>
          <cell r="D45" t="str">
            <v>글로벌사업본부</v>
          </cell>
          <cell r="E45" t="str">
            <v>AC12</v>
          </cell>
          <cell r="F45" t="str">
            <v>IT관리팀</v>
          </cell>
          <cell r="G45" t="str">
            <v>서울</v>
          </cell>
          <cell r="H45">
            <v>4</v>
          </cell>
          <cell r="I45" t="str">
            <v>차장</v>
          </cell>
          <cell r="J45" t="str">
            <v>750505-1466712</v>
          </cell>
          <cell r="K45">
            <v>38</v>
          </cell>
          <cell r="L45" t="str">
            <v>남</v>
          </cell>
          <cell r="M45">
            <v>39995</v>
          </cell>
          <cell r="N45">
            <v>4</v>
          </cell>
          <cell r="O45" t="str">
            <v>4년5월</v>
          </cell>
          <cell r="P45">
            <v>2</v>
          </cell>
          <cell r="Q45" t="str">
            <v>8년3월</v>
          </cell>
        </row>
        <row r="46">
          <cell r="A46">
            <v>2009021</v>
          </cell>
          <cell r="B46" t="str">
            <v>이경임</v>
          </cell>
          <cell r="C46" t="str">
            <v>AB00</v>
          </cell>
          <cell r="D46" t="str">
            <v>국종망운영사업본부</v>
          </cell>
          <cell r="E46" t="str">
            <v>AB30</v>
          </cell>
          <cell r="F46" t="str">
            <v>기술지원센터</v>
          </cell>
          <cell r="G46" t="str">
            <v>대전</v>
          </cell>
          <cell r="H46" t="str">
            <v>상담직</v>
          </cell>
          <cell r="I46" t="str">
            <v>사원</v>
          </cell>
          <cell r="J46" t="str">
            <v>790128-2892619</v>
          </cell>
          <cell r="K46">
            <v>34</v>
          </cell>
          <cell r="L46" t="str">
            <v>여</v>
          </cell>
          <cell r="M46">
            <v>40002</v>
          </cell>
          <cell r="N46">
            <v>4</v>
          </cell>
          <cell r="O46" t="str">
            <v>4년5월</v>
          </cell>
          <cell r="P46">
            <v>2</v>
          </cell>
        </row>
        <row r="47">
          <cell r="A47">
            <v>2009024</v>
          </cell>
          <cell r="B47" t="str">
            <v>김정희</v>
          </cell>
          <cell r="C47" t="str">
            <v>AC00</v>
          </cell>
          <cell r="D47" t="str">
            <v>글로벌사업본부</v>
          </cell>
          <cell r="E47" t="str">
            <v>AC20</v>
          </cell>
          <cell r="F47" t="str">
            <v>기획관리팀</v>
          </cell>
          <cell r="G47" t="str">
            <v>서울</v>
          </cell>
          <cell r="H47">
            <v>5</v>
          </cell>
          <cell r="I47" t="str">
            <v>사원</v>
          </cell>
          <cell r="J47" t="str">
            <v>831110-2064013</v>
          </cell>
          <cell r="K47">
            <v>30</v>
          </cell>
          <cell r="L47" t="str">
            <v>여</v>
          </cell>
          <cell r="M47">
            <v>40070</v>
          </cell>
          <cell r="N47">
            <v>4</v>
          </cell>
          <cell r="O47" t="str">
            <v>4년3월</v>
          </cell>
          <cell r="P47">
            <v>2</v>
          </cell>
        </row>
        <row r="48">
          <cell r="A48">
            <v>2010001</v>
          </cell>
          <cell r="B48" t="str">
            <v>박은미</v>
          </cell>
          <cell r="C48" t="str">
            <v>AB00</v>
          </cell>
          <cell r="D48" t="str">
            <v>국종망운영사업본부</v>
          </cell>
          <cell r="E48" t="str">
            <v>AB30</v>
          </cell>
          <cell r="F48" t="str">
            <v>기술지원센터</v>
          </cell>
          <cell r="G48" t="str">
            <v>대전</v>
          </cell>
          <cell r="H48" t="str">
            <v>상담직</v>
          </cell>
          <cell r="I48" t="str">
            <v>사원</v>
          </cell>
          <cell r="J48" t="str">
            <v>861219-2408011</v>
          </cell>
          <cell r="K48">
            <v>27</v>
          </cell>
          <cell r="L48" t="str">
            <v>여</v>
          </cell>
          <cell r="M48">
            <v>40210</v>
          </cell>
          <cell r="N48">
            <v>3</v>
          </cell>
          <cell r="O48" t="str">
            <v>3년10월</v>
          </cell>
          <cell r="P48">
            <v>2</v>
          </cell>
        </row>
        <row r="49">
          <cell r="A49">
            <v>2010003</v>
          </cell>
          <cell r="B49" t="str">
            <v>황진희</v>
          </cell>
          <cell r="C49" t="str">
            <v>AB00</v>
          </cell>
          <cell r="D49" t="str">
            <v>국종망운영사업본부</v>
          </cell>
          <cell r="E49" t="str">
            <v>AB30</v>
          </cell>
          <cell r="F49" t="str">
            <v>기술지원센터</v>
          </cell>
          <cell r="G49" t="str">
            <v>대전</v>
          </cell>
          <cell r="H49" t="str">
            <v>상담직</v>
          </cell>
          <cell r="I49" t="str">
            <v>대리</v>
          </cell>
          <cell r="J49" t="str">
            <v>800711-2451019</v>
          </cell>
          <cell r="K49">
            <v>33</v>
          </cell>
          <cell r="L49" t="str">
            <v>여</v>
          </cell>
          <cell r="M49">
            <v>40240</v>
          </cell>
          <cell r="N49">
            <v>3</v>
          </cell>
          <cell r="O49" t="str">
            <v>3년9월</v>
          </cell>
          <cell r="P49">
            <v>3</v>
          </cell>
          <cell r="Q49" t="str">
            <v>4년6월</v>
          </cell>
        </row>
        <row r="50">
          <cell r="A50">
            <v>2010004</v>
          </cell>
          <cell r="B50" t="str">
            <v>이소정</v>
          </cell>
          <cell r="C50" t="str">
            <v>AB00</v>
          </cell>
          <cell r="D50" t="str">
            <v>국종망운영사업본부</v>
          </cell>
          <cell r="E50" t="str">
            <v>AB30</v>
          </cell>
          <cell r="F50" t="str">
            <v>기술지원센터</v>
          </cell>
          <cell r="G50" t="str">
            <v>대전</v>
          </cell>
          <cell r="H50" t="str">
            <v>상담직</v>
          </cell>
          <cell r="I50" t="str">
            <v>사원</v>
          </cell>
          <cell r="J50" t="str">
            <v>850225-2405816</v>
          </cell>
          <cell r="K50">
            <v>28</v>
          </cell>
          <cell r="L50" t="str">
            <v>여</v>
          </cell>
          <cell r="M50">
            <v>40240</v>
          </cell>
          <cell r="N50">
            <v>3</v>
          </cell>
          <cell r="O50" t="str">
            <v>3년9월</v>
          </cell>
          <cell r="P50">
            <v>2</v>
          </cell>
          <cell r="Q50" t="str">
            <v>0년6월</v>
          </cell>
        </row>
        <row r="51">
          <cell r="A51">
            <v>2010005</v>
          </cell>
          <cell r="B51" t="str">
            <v>오민영</v>
          </cell>
          <cell r="C51" t="str">
            <v>AB00</v>
          </cell>
          <cell r="D51" t="str">
            <v>국종망운영사업본부</v>
          </cell>
          <cell r="E51" t="str">
            <v>AB20</v>
          </cell>
          <cell r="F51" t="str">
            <v>국종망운영2팀</v>
          </cell>
          <cell r="G51" t="str">
            <v>대전</v>
          </cell>
          <cell r="H51">
            <v>4</v>
          </cell>
          <cell r="I51" t="str">
            <v>차장</v>
          </cell>
          <cell r="J51" t="str">
            <v>761217-1380317</v>
          </cell>
          <cell r="K51">
            <v>37</v>
          </cell>
          <cell r="L51" t="str">
            <v>남</v>
          </cell>
          <cell r="M51">
            <v>40245</v>
          </cell>
          <cell r="N51">
            <v>3</v>
          </cell>
          <cell r="O51" t="str">
            <v>3년9월</v>
          </cell>
          <cell r="P51">
            <v>2</v>
          </cell>
          <cell r="Q51" t="str">
            <v>7년9월</v>
          </cell>
        </row>
        <row r="52">
          <cell r="A52">
            <v>2010007</v>
          </cell>
          <cell r="B52" t="str">
            <v>고경석</v>
          </cell>
          <cell r="C52" t="str">
            <v>AB00</v>
          </cell>
          <cell r="D52" t="str">
            <v>국종망운영사업본부</v>
          </cell>
          <cell r="E52" t="str">
            <v>AB20</v>
          </cell>
          <cell r="F52" t="str">
            <v>국종망운영2팀</v>
          </cell>
          <cell r="G52" t="str">
            <v>대전</v>
          </cell>
          <cell r="H52">
            <v>5</v>
          </cell>
          <cell r="I52" t="str">
            <v>과장</v>
          </cell>
          <cell r="J52" t="str">
            <v>780710-1917119</v>
          </cell>
          <cell r="K52">
            <v>35</v>
          </cell>
          <cell r="L52" t="str">
            <v>남</v>
          </cell>
          <cell r="M52">
            <v>40245</v>
          </cell>
          <cell r="N52">
            <v>3</v>
          </cell>
          <cell r="O52" t="str">
            <v>3년9월</v>
          </cell>
          <cell r="P52">
            <v>2</v>
          </cell>
          <cell r="Q52" t="str">
            <v>5년9월</v>
          </cell>
        </row>
        <row r="53">
          <cell r="A53">
            <v>2010008</v>
          </cell>
          <cell r="B53" t="str">
            <v>임춘석</v>
          </cell>
          <cell r="C53" t="str">
            <v>AB00</v>
          </cell>
          <cell r="D53" t="str">
            <v>국종망운영사업본부</v>
          </cell>
          <cell r="E53" t="str">
            <v>AB10</v>
          </cell>
          <cell r="F53" t="str">
            <v>국종망운영1팀</v>
          </cell>
          <cell r="G53" t="str">
            <v>대전</v>
          </cell>
          <cell r="H53">
            <v>5</v>
          </cell>
          <cell r="I53" t="str">
            <v>과장</v>
          </cell>
          <cell r="J53" t="str">
            <v>790217-1799911</v>
          </cell>
          <cell r="K53">
            <v>34</v>
          </cell>
          <cell r="L53" t="str">
            <v>남</v>
          </cell>
          <cell r="M53">
            <v>40245</v>
          </cell>
          <cell r="N53">
            <v>3</v>
          </cell>
          <cell r="O53" t="str">
            <v>3년9월</v>
          </cell>
          <cell r="P53">
            <v>2</v>
          </cell>
          <cell r="Q53" t="str">
            <v>4년0월</v>
          </cell>
        </row>
        <row r="54">
          <cell r="A54">
            <v>2010009</v>
          </cell>
          <cell r="B54" t="str">
            <v>김용래</v>
          </cell>
          <cell r="C54" t="str">
            <v>AB00</v>
          </cell>
          <cell r="D54" t="str">
            <v>국종망운영사업본부</v>
          </cell>
          <cell r="E54" t="str">
            <v>AB10</v>
          </cell>
          <cell r="F54" t="str">
            <v>국종망운영1팀</v>
          </cell>
          <cell r="G54" t="str">
            <v>대전</v>
          </cell>
          <cell r="H54">
            <v>5</v>
          </cell>
          <cell r="I54" t="str">
            <v>과장</v>
          </cell>
          <cell r="J54" t="str">
            <v>790908-1402737</v>
          </cell>
          <cell r="K54">
            <v>34</v>
          </cell>
          <cell r="L54" t="str">
            <v>남</v>
          </cell>
          <cell r="M54">
            <v>40245</v>
          </cell>
          <cell r="N54">
            <v>3</v>
          </cell>
          <cell r="O54" t="str">
            <v>3년9월</v>
          </cell>
          <cell r="P54">
            <v>1</v>
          </cell>
          <cell r="Q54" t="str">
            <v>1년11월</v>
          </cell>
        </row>
        <row r="55">
          <cell r="A55">
            <v>2010010</v>
          </cell>
          <cell r="B55" t="str">
            <v>김승태</v>
          </cell>
          <cell r="C55" t="str">
            <v>AB00</v>
          </cell>
          <cell r="D55" t="str">
            <v>국종망운영사업본부</v>
          </cell>
          <cell r="E55" t="str">
            <v>AB20</v>
          </cell>
          <cell r="F55" t="str">
            <v>국종망운영2팀</v>
          </cell>
          <cell r="G55" t="str">
            <v>대전</v>
          </cell>
          <cell r="H55">
            <v>5</v>
          </cell>
          <cell r="I55" t="str">
            <v>대리</v>
          </cell>
          <cell r="J55" t="str">
            <v>811129-1447711</v>
          </cell>
          <cell r="K55">
            <v>32</v>
          </cell>
          <cell r="L55" t="str">
            <v>남</v>
          </cell>
          <cell r="M55">
            <v>40245</v>
          </cell>
          <cell r="N55">
            <v>3</v>
          </cell>
          <cell r="O55" t="str">
            <v>3년9월</v>
          </cell>
          <cell r="P55">
            <v>2</v>
          </cell>
        </row>
        <row r="56">
          <cell r="A56">
            <v>2010012</v>
          </cell>
          <cell r="B56" t="str">
            <v>박금서</v>
          </cell>
          <cell r="C56" t="str">
            <v>AB00</v>
          </cell>
          <cell r="D56" t="str">
            <v>국종망운영사업본부</v>
          </cell>
          <cell r="E56" t="str">
            <v>AB20</v>
          </cell>
          <cell r="F56" t="str">
            <v>국종망운영2팀</v>
          </cell>
          <cell r="G56" t="str">
            <v>대전</v>
          </cell>
          <cell r="H56">
            <v>5</v>
          </cell>
          <cell r="I56" t="str">
            <v>대리</v>
          </cell>
          <cell r="J56" t="str">
            <v>841003-1380011</v>
          </cell>
          <cell r="K56">
            <v>29</v>
          </cell>
          <cell r="L56" t="str">
            <v>남</v>
          </cell>
          <cell r="M56">
            <v>40245</v>
          </cell>
          <cell r="N56">
            <v>3</v>
          </cell>
          <cell r="O56" t="str">
            <v>3년9월</v>
          </cell>
          <cell r="P56">
            <v>2</v>
          </cell>
        </row>
        <row r="57">
          <cell r="A57">
            <v>2010013</v>
          </cell>
          <cell r="B57" t="str">
            <v>정소영</v>
          </cell>
          <cell r="C57" t="str">
            <v>AC00</v>
          </cell>
          <cell r="D57" t="str">
            <v>글로벌사업본부</v>
          </cell>
          <cell r="E57" t="str">
            <v>AC50</v>
          </cell>
          <cell r="F57" t="str">
            <v>탄자니아TFT</v>
          </cell>
          <cell r="G57" t="str">
            <v>대전</v>
          </cell>
          <cell r="H57">
            <v>5</v>
          </cell>
          <cell r="I57" t="str">
            <v>대리</v>
          </cell>
          <cell r="J57" t="str">
            <v>860519-2352523</v>
          </cell>
          <cell r="K57">
            <v>27</v>
          </cell>
          <cell r="L57" t="str">
            <v>여</v>
          </cell>
          <cell r="M57">
            <v>40245</v>
          </cell>
          <cell r="N57">
            <v>3</v>
          </cell>
          <cell r="O57" t="str">
            <v>3년9월</v>
          </cell>
          <cell r="P57">
            <v>2</v>
          </cell>
        </row>
        <row r="58">
          <cell r="A58">
            <v>2010017</v>
          </cell>
          <cell r="B58" t="str">
            <v>박상철</v>
          </cell>
          <cell r="C58" t="str">
            <v>AC00</v>
          </cell>
          <cell r="D58" t="str">
            <v>글로벌사업본부</v>
          </cell>
          <cell r="E58" t="str">
            <v>AC60</v>
          </cell>
          <cell r="F58" t="str">
            <v>카메룬TFT</v>
          </cell>
          <cell r="G58" t="str">
            <v>서울</v>
          </cell>
          <cell r="H58">
            <v>1</v>
          </cell>
          <cell r="I58" t="str">
            <v>본부장</v>
          </cell>
          <cell r="J58" t="str">
            <v>570806-1030619</v>
          </cell>
          <cell r="K58">
            <v>56</v>
          </cell>
          <cell r="L58" t="str">
            <v>남</v>
          </cell>
          <cell r="M58">
            <v>40301</v>
          </cell>
          <cell r="N58">
            <v>3</v>
          </cell>
          <cell r="O58" t="str">
            <v>3년7월</v>
          </cell>
          <cell r="P58">
            <v>2</v>
          </cell>
          <cell r="Q58" t="str">
            <v>28년11월</v>
          </cell>
        </row>
        <row r="59">
          <cell r="A59">
            <v>2010018</v>
          </cell>
          <cell r="B59" t="str">
            <v>채정무</v>
          </cell>
          <cell r="C59" t="str">
            <v>AB00</v>
          </cell>
          <cell r="D59" t="str">
            <v>국종망운영사업본부</v>
          </cell>
          <cell r="E59" t="str">
            <v>AB20</v>
          </cell>
          <cell r="F59" t="str">
            <v>국종망운영2팀</v>
          </cell>
          <cell r="G59" t="str">
            <v>대전</v>
          </cell>
          <cell r="H59">
            <v>4</v>
          </cell>
          <cell r="I59" t="str">
            <v>차장</v>
          </cell>
          <cell r="J59" t="str">
            <v>750903-1405913</v>
          </cell>
          <cell r="K59">
            <v>38</v>
          </cell>
          <cell r="L59" t="str">
            <v>남</v>
          </cell>
          <cell r="M59">
            <v>40301</v>
          </cell>
          <cell r="N59">
            <v>3</v>
          </cell>
          <cell r="O59" t="str">
            <v>3년7월</v>
          </cell>
          <cell r="P59">
            <v>2</v>
          </cell>
          <cell r="Q59" t="str">
            <v>9년6월</v>
          </cell>
        </row>
        <row r="60">
          <cell r="A60">
            <v>2010020</v>
          </cell>
          <cell r="B60" t="str">
            <v>한아름</v>
          </cell>
          <cell r="C60" t="str">
            <v>AB00</v>
          </cell>
          <cell r="D60" t="str">
            <v>국종망운영사업본부</v>
          </cell>
          <cell r="E60" t="str">
            <v>AB30</v>
          </cell>
          <cell r="F60" t="str">
            <v>기술지원센터</v>
          </cell>
          <cell r="G60" t="str">
            <v>대전</v>
          </cell>
          <cell r="H60" t="str">
            <v>상담직</v>
          </cell>
          <cell r="I60" t="str">
            <v>사원</v>
          </cell>
          <cell r="J60" t="str">
            <v>850303-2450713</v>
          </cell>
          <cell r="K60">
            <v>28</v>
          </cell>
          <cell r="L60" t="str">
            <v>여</v>
          </cell>
          <cell r="M60">
            <v>40301</v>
          </cell>
          <cell r="N60">
            <v>3</v>
          </cell>
          <cell r="O60" t="str">
            <v>3년7월</v>
          </cell>
          <cell r="P60">
            <v>2</v>
          </cell>
          <cell r="Q60" t="str">
            <v>1년2월</v>
          </cell>
        </row>
        <row r="61">
          <cell r="A61">
            <v>2010023</v>
          </cell>
          <cell r="B61" t="str">
            <v>최용제</v>
          </cell>
          <cell r="C61" t="str">
            <v>AB00</v>
          </cell>
          <cell r="D61" t="str">
            <v>국종망운영사업본부</v>
          </cell>
          <cell r="E61" t="str">
            <v>AB20</v>
          </cell>
          <cell r="F61" t="str">
            <v>국종망운영2팀</v>
          </cell>
          <cell r="G61" t="str">
            <v>대전</v>
          </cell>
          <cell r="H61">
            <v>3</v>
          </cell>
          <cell r="I61" t="str">
            <v>부장</v>
          </cell>
          <cell r="J61" t="str">
            <v>650821-1046316</v>
          </cell>
          <cell r="K61">
            <v>48</v>
          </cell>
          <cell r="L61" t="str">
            <v>남</v>
          </cell>
          <cell r="M61">
            <v>40308</v>
          </cell>
          <cell r="N61">
            <v>3</v>
          </cell>
          <cell r="O61" t="str">
            <v>3년7월</v>
          </cell>
          <cell r="P61">
            <v>2</v>
          </cell>
          <cell r="Q61" t="str">
            <v>17년0월</v>
          </cell>
        </row>
        <row r="62">
          <cell r="A62">
            <v>2010029</v>
          </cell>
          <cell r="B62" t="str">
            <v>강유</v>
          </cell>
          <cell r="C62" t="str">
            <v>AC00</v>
          </cell>
          <cell r="D62" t="str">
            <v>글로벌사업본부</v>
          </cell>
          <cell r="E62" t="str">
            <v>AC11</v>
          </cell>
          <cell r="F62" t="str">
            <v>컨설팅2팀</v>
          </cell>
          <cell r="G62" t="str">
            <v>서울</v>
          </cell>
          <cell r="H62">
            <v>5</v>
          </cell>
          <cell r="I62" t="str">
            <v>과장</v>
          </cell>
          <cell r="J62" t="str">
            <v>760216-1109126</v>
          </cell>
          <cell r="K62">
            <v>37</v>
          </cell>
          <cell r="L62" t="str">
            <v>남</v>
          </cell>
          <cell r="M62">
            <v>41351</v>
          </cell>
          <cell r="N62">
            <v>0</v>
          </cell>
          <cell r="O62" t="str">
            <v>0년9월</v>
          </cell>
          <cell r="P62">
            <v>2</v>
          </cell>
          <cell r="Q62" t="str">
            <v>11월</v>
          </cell>
        </row>
        <row r="63">
          <cell r="A63">
            <v>2010030</v>
          </cell>
          <cell r="B63" t="str">
            <v>김현일</v>
          </cell>
          <cell r="C63" t="str">
            <v>AA50</v>
          </cell>
          <cell r="D63" t="str">
            <v>경영지원본부</v>
          </cell>
          <cell r="E63" t="str">
            <v>AA26</v>
          </cell>
          <cell r="F63" t="str">
            <v>인사기획팀</v>
          </cell>
          <cell r="G63" t="str">
            <v>서울</v>
          </cell>
          <cell r="H63">
            <v>5</v>
          </cell>
          <cell r="I63" t="str">
            <v>과장</v>
          </cell>
          <cell r="J63" t="str">
            <v>811221-1012911</v>
          </cell>
          <cell r="K63">
            <v>32</v>
          </cell>
          <cell r="L63" t="str">
            <v>남</v>
          </cell>
          <cell r="M63">
            <v>40427</v>
          </cell>
          <cell r="N63">
            <v>3</v>
          </cell>
          <cell r="O63" t="str">
            <v>3년3월</v>
          </cell>
          <cell r="P63">
            <v>2</v>
          </cell>
          <cell r="Q63" t="str">
            <v>4년4월</v>
          </cell>
        </row>
        <row r="64">
          <cell r="A64">
            <v>2010031</v>
          </cell>
          <cell r="B64" t="str">
            <v>안형근</v>
          </cell>
          <cell r="C64" t="str">
            <v>AC00</v>
          </cell>
          <cell r="D64" t="str">
            <v>글로벌사업본부</v>
          </cell>
          <cell r="E64" t="str">
            <v>AC10</v>
          </cell>
          <cell r="F64" t="str">
            <v>컨설팅1팀</v>
          </cell>
          <cell r="G64" t="str">
            <v>서울</v>
          </cell>
          <cell r="H64">
            <v>5</v>
          </cell>
          <cell r="I64" t="str">
            <v>대리</v>
          </cell>
          <cell r="J64" t="str">
            <v>830223-1402713</v>
          </cell>
          <cell r="K64">
            <v>30</v>
          </cell>
          <cell r="L64" t="str">
            <v>남</v>
          </cell>
          <cell r="M64">
            <v>40427</v>
          </cell>
          <cell r="N64">
            <v>3</v>
          </cell>
          <cell r="O64" t="str">
            <v>3년3월</v>
          </cell>
          <cell r="P64">
            <v>2</v>
          </cell>
        </row>
        <row r="65">
          <cell r="A65">
            <v>2010034</v>
          </cell>
          <cell r="B65" t="str">
            <v>이용희</v>
          </cell>
          <cell r="C65" t="str">
            <v>AC00</v>
          </cell>
          <cell r="D65" t="str">
            <v>글로벌사업본부</v>
          </cell>
          <cell r="E65" t="str">
            <v>AC11</v>
          </cell>
          <cell r="F65" t="str">
            <v>컨설팅2팀</v>
          </cell>
          <cell r="G65" t="str">
            <v>서울</v>
          </cell>
          <cell r="H65">
            <v>4</v>
          </cell>
          <cell r="I65" t="str">
            <v>차장</v>
          </cell>
          <cell r="J65" t="str">
            <v>721227-1348420</v>
          </cell>
          <cell r="K65">
            <v>41</v>
          </cell>
          <cell r="L65" t="str">
            <v>남</v>
          </cell>
          <cell r="M65">
            <v>40483</v>
          </cell>
          <cell r="N65">
            <v>3</v>
          </cell>
          <cell r="O65" t="str">
            <v>3년1월</v>
          </cell>
          <cell r="P65">
            <v>2</v>
          </cell>
          <cell r="Q65" t="str">
            <v>13년4월</v>
          </cell>
        </row>
        <row r="66">
          <cell r="A66">
            <v>2010035</v>
          </cell>
          <cell r="B66" t="str">
            <v>최정아</v>
          </cell>
          <cell r="C66" t="str">
            <v>AB00</v>
          </cell>
          <cell r="D66" t="str">
            <v>국종망운영사업본부</v>
          </cell>
          <cell r="E66" t="str">
            <v>AB30</v>
          </cell>
          <cell r="F66" t="str">
            <v>기술지원센터</v>
          </cell>
          <cell r="G66" t="str">
            <v>대전</v>
          </cell>
          <cell r="H66" t="str">
            <v>상담직</v>
          </cell>
          <cell r="I66" t="str">
            <v>사원</v>
          </cell>
          <cell r="J66" t="str">
            <v>830204-2409711</v>
          </cell>
          <cell r="K66">
            <v>30</v>
          </cell>
          <cell r="L66" t="str">
            <v>여</v>
          </cell>
          <cell r="M66">
            <v>40483</v>
          </cell>
          <cell r="N66">
            <v>3</v>
          </cell>
          <cell r="O66" t="str">
            <v>3년1월</v>
          </cell>
          <cell r="P66">
            <v>2</v>
          </cell>
          <cell r="Q66" t="str">
            <v>6년0월</v>
          </cell>
        </row>
        <row r="67">
          <cell r="A67">
            <v>2010036</v>
          </cell>
          <cell r="B67" t="str">
            <v>양가람</v>
          </cell>
          <cell r="C67" t="str">
            <v>AB00</v>
          </cell>
          <cell r="D67" t="str">
            <v>국종망운영사업본부</v>
          </cell>
          <cell r="E67" t="str">
            <v>AB30</v>
          </cell>
          <cell r="F67" t="str">
            <v>기술지원센터</v>
          </cell>
          <cell r="G67" t="str">
            <v>대전</v>
          </cell>
          <cell r="H67" t="str">
            <v>상담직</v>
          </cell>
          <cell r="I67" t="str">
            <v>사원</v>
          </cell>
          <cell r="J67" t="str">
            <v>860921-2126521</v>
          </cell>
          <cell r="K67">
            <v>27</v>
          </cell>
          <cell r="L67" t="str">
            <v>여</v>
          </cell>
          <cell r="M67">
            <v>40483</v>
          </cell>
          <cell r="N67">
            <v>3</v>
          </cell>
          <cell r="O67" t="str">
            <v>3년1월</v>
          </cell>
          <cell r="P67">
            <v>2</v>
          </cell>
          <cell r="Q67" t="str">
            <v>0년9월</v>
          </cell>
        </row>
        <row r="68">
          <cell r="A68">
            <v>2011001</v>
          </cell>
          <cell r="B68" t="str">
            <v>장선영</v>
          </cell>
          <cell r="C68" t="str">
            <v>AB00</v>
          </cell>
          <cell r="D68" t="str">
            <v>국종망운영사업본부</v>
          </cell>
          <cell r="E68" t="str">
            <v>AB30</v>
          </cell>
          <cell r="F68" t="str">
            <v>기술지원센터</v>
          </cell>
          <cell r="G68" t="str">
            <v>대전</v>
          </cell>
          <cell r="H68" t="str">
            <v>상담직</v>
          </cell>
          <cell r="I68" t="str">
            <v>사원</v>
          </cell>
          <cell r="J68" t="str">
            <v>800217-2447024</v>
          </cell>
          <cell r="K68">
            <v>33</v>
          </cell>
          <cell r="L68" t="str">
            <v>여</v>
          </cell>
          <cell r="M68">
            <v>40546</v>
          </cell>
          <cell r="N68">
            <v>2</v>
          </cell>
          <cell r="O68" t="str">
            <v>2년11월</v>
          </cell>
          <cell r="P68">
            <v>2</v>
          </cell>
          <cell r="Q68" t="str">
            <v>7년0월</v>
          </cell>
        </row>
        <row r="69">
          <cell r="A69">
            <v>2011002</v>
          </cell>
          <cell r="B69" t="str">
            <v>김보라</v>
          </cell>
          <cell r="C69" t="str">
            <v>AB00</v>
          </cell>
          <cell r="D69" t="str">
            <v>국종망운영사업본부</v>
          </cell>
          <cell r="E69" t="str">
            <v>AB30</v>
          </cell>
          <cell r="F69" t="str">
            <v>기술지원센터</v>
          </cell>
          <cell r="G69" t="str">
            <v>대전</v>
          </cell>
          <cell r="H69" t="str">
            <v>상담직</v>
          </cell>
          <cell r="I69" t="str">
            <v>사원</v>
          </cell>
          <cell r="J69" t="str">
            <v>830208-2406228</v>
          </cell>
          <cell r="K69">
            <v>30</v>
          </cell>
          <cell r="L69" t="str">
            <v>여</v>
          </cell>
          <cell r="M69">
            <v>40546</v>
          </cell>
          <cell r="N69">
            <v>2</v>
          </cell>
          <cell r="O69" t="str">
            <v>2년11월</v>
          </cell>
          <cell r="P69">
            <v>2</v>
          </cell>
          <cell r="Q69" t="str">
            <v>1년7월</v>
          </cell>
        </row>
        <row r="70">
          <cell r="A70">
            <v>2011003</v>
          </cell>
          <cell r="B70" t="str">
            <v>이유미</v>
          </cell>
          <cell r="C70" t="str">
            <v>AB00</v>
          </cell>
          <cell r="D70" t="str">
            <v>국종망운영사업본부</v>
          </cell>
          <cell r="E70" t="str">
            <v>AB30</v>
          </cell>
          <cell r="F70" t="str">
            <v>기술지원센터</v>
          </cell>
          <cell r="G70" t="str">
            <v>대전</v>
          </cell>
          <cell r="H70" t="str">
            <v>상담직</v>
          </cell>
          <cell r="I70" t="str">
            <v>사원</v>
          </cell>
          <cell r="J70" t="str">
            <v>860902-2408813</v>
          </cell>
          <cell r="K70">
            <v>27</v>
          </cell>
          <cell r="L70" t="str">
            <v>여</v>
          </cell>
          <cell r="M70">
            <v>40546</v>
          </cell>
          <cell r="N70">
            <v>2</v>
          </cell>
          <cell r="O70" t="str">
            <v>2년11월</v>
          </cell>
          <cell r="P70">
            <v>2</v>
          </cell>
          <cell r="Q70" t="str">
            <v>1년1월</v>
          </cell>
        </row>
        <row r="71">
          <cell r="A71">
            <v>2011004</v>
          </cell>
          <cell r="B71" t="str">
            <v>최한아</v>
          </cell>
          <cell r="C71" t="str">
            <v>AC00</v>
          </cell>
          <cell r="D71" t="str">
            <v>글로벌사업본부</v>
          </cell>
          <cell r="E71" t="str">
            <v>AC11</v>
          </cell>
          <cell r="F71" t="str">
            <v>컨설팅2팀</v>
          </cell>
          <cell r="G71" t="str">
            <v>서울</v>
          </cell>
          <cell r="H71">
            <v>5</v>
          </cell>
          <cell r="I71" t="str">
            <v>대리</v>
          </cell>
          <cell r="J71" t="str">
            <v>851010-2024116</v>
          </cell>
          <cell r="K71">
            <v>28</v>
          </cell>
          <cell r="L71" t="str">
            <v>여</v>
          </cell>
          <cell r="M71">
            <v>40313</v>
          </cell>
          <cell r="N71">
            <v>3</v>
          </cell>
          <cell r="O71" t="str">
            <v>3년7월</v>
          </cell>
          <cell r="P71">
            <v>2</v>
          </cell>
          <cell r="Q71" t="str">
            <v>1년2월</v>
          </cell>
        </row>
        <row r="72">
          <cell r="A72">
            <v>2011006</v>
          </cell>
          <cell r="B72" t="str">
            <v>최양우</v>
          </cell>
          <cell r="C72" t="str">
            <v>AB00</v>
          </cell>
          <cell r="D72" t="str">
            <v>국종망운영사업본부</v>
          </cell>
          <cell r="E72" t="str">
            <v>AB10</v>
          </cell>
          <cell r="F72" t="str">
            <v>국종망운영1팀</v>
          </cell>
          <cell r="G72" t="str">
            <v>대전</v>
          </cell>
          <cell r="H72">
            <v>4</v>
          </cell>
          <cell r="I72" t="str">
            <v>차장</v>
          </cell>
          <cell r="J72" t="str">
            <v>751009-1074510</v>
          </cell>
          <cell r="K72">
            <v>38</v>
          </cell>
          <cell r="L72" t="str">
            <v>남</v>
          </cell>
          <cell r="M72">
            <v>40618</v>
          </cell>
          <cell r="N72">
            <v>2</v>
          </cell>
          <cell r="O72" t="str">
            <v>2년9월</v>
          </cell>
          <cell r="P72">
            <v>2</v>
          </cell>
          <cell r="Q72" t="str">
            <v>4년9월</v>
          </cell>
        </row>
        <row r="73">
          <cell r="A73">
            <v>2011007</v>
          </cell>
          <cell r="B73" t="str">
            <v>남주진</v>
          </cell>
          <cell r="C73" t="str">
            <v>AB00</v>
          </cell>
          <cell r="D73" t="str">
            <v>국종망운영사업본부</v>
          </cell>
          <cell r="E73" t="str">
            <v>AB10</v>
          </cell>
          <cell r="F73" t="str">
            <v>국종망운영1팀</v>
          </cell>
          <cell r="G73" t="str">
            <v>대전</v>
          </cell>
          <cell r="H73">
            <v>5</v>
          </cell>
          <cell r="I73" t="str">
            <v>과장</v>
          </cell>
          <cell r="J73" t="str">
            <v>770322-2454811</v>
          </cell>
          <cell r="K73">
            <v>36</v>
          </cell>
          <cell r="L73" t="str">
            <v>여</v>
          </cell>
          <cell r="M73">
            <v>40618</v>
          </cell>
          <cell r="N73">
            <v>2</v>
          </cell>
          <cell r="O73" t="str">
            <v>2년9월</v>
          </cell>
          <cell r="P73">
            <v>3</v>
          </cell>
          <cell r="Q73" t="str">
            <v>9년2월</v>
          </cell>
        </row>
        <row r="74">
          <cell r="A74">
            <v>2011009</v>
          </cell>
          <cell r="B74" t="str">
            <v>서병립</v>
          </cell>
          <cell r="C74" t="str">
            <v>AB00</v>
          </cell>
          <cell r="D74" t="str">
            <v>국종망운영사업본부</v>
          </cell>
          <cell r="E74" t="str">
            <v>AB10</v>
          </cell>
          <cell r="F74" t="str">
            <v>국종망운영1팀</v>
          </cell>
          <cell r="G74" t="str">
            <v>대전</v>
          </cell>
          <cell r="H74">
            <v>4</v>
          </cell>
          <cell r="I74" t="str">
            <v>차장</v>
          </cell>
          <cell r="J74" t="str">
            <v>740103-1671428</v>
          </cell>
          <cell r="K74">
            <v>39</v>
          </cell>
          <cell r="L74" t="str">
            <v>남</v>
          </cell>
          <cell r="M74">
            <v>40637</v>
          </cell>
          <cell r="N74">
            <v>2</v>
          </cell>
          <cell r="O74" t="str">
            <v>2년8월</v>
          </cell>
          <cell r="P74">
            <v>2</v>
          </cell>
          <cell r="Q74" t="str">
            <v>11년3월</v>
          </cell>
        </row>
        <row r="75">
          <cell r="A75">
            <v>2011011</v>
          </cell>
          <cell r="B75" t="str">
            <v>권무혁</v>
          </cell>
          <cell r="C75" t="str">
            <v>AA50</v>
          </cell>
          <cell r="D75" t="str">
            <v>경영지원본부</v>
          </cell>
          <cell r="E75" t="str">
            <v>AA30</v>
          </cell>
          <cell r="F75" t="str">
            <v>총무회계팀</v>
          </cell>
          <cell r="G75" t="str">
            <v>서울</v>
          </cell>
          <cell r="H75">
            <v>3</v>
          </cell>
          <cell r="I75" t="str">
            <v>부장</v>
          </cell>
          <cell r="J75" t="str">
            <v>660510-1775462</v>
          </cell>
          <cell r="K75">
            <v>47</v>
          </cell>
          <cell r="L75" t="str">
            <v>남</v>
          </cell>
          <cell r="M75">
            <v>40679</v>
          </cell>
          <cell r="N75">
            <v>2</v>
          </cell>
          <cell r="O75" t="str">
            <v>2년7월</v>
          </cell>
          <cell r="P75">
            <v>2</v>
          </cell>
          <cell r="Q75" t="str">
            <v>18년11월</v>
          </cell>
        </row>
        <row r="76">
          <cell r="A76">
            <v>2011012</v>
          </cell>
          <cell r="B76" t="str">
            <v>곽현</v>
          </cell>
          <cell r="C76" t="str">
            <v>AC00</v>
          </cell>
          <cell r="D76" t="str">
            <v>글로벌사업본부</v>
          </cell>
          <cell r="E76" t="str">
            <v>AC20</v>
          </cell>
          <cell r="F76" t="str">
            <v>기획관리팀</v>
          </cell>
          <cell r="G76" t="str">
            <v>서울</v>
          </cell>
          <cell r="H76">
            <v>3</v>
          </cell>
          <cell r="I76" t="str">
            <v>차장</v>
          </cell>
          <cell r="J76" t="str">
            <v>681215-1025810</v>
          </cell>
          <cell r="K76">
            <v>45</v>
          </cell>
          <cell r="L76" t="str">
            <v>남</v>
          </cell>
          <cell r="M76">
            <v>40681</v>
          </cell>
          <cell r="N76">
            <v>2</v>
          </cell>
          <cell r="O76" t="str">
            <v>2년7월</v>
          </cell>
          <cell r="P76">
            <v>2</v>
          </cell>
          <cell r="Q76" t="str">
            <v>16년4월</v>
          </cell>
        </row>
        <row r="77">
          <cell r="A77">
            <v>2011013</v>
          </cell>
          <cell r="B77" t="str">
            <v>박정은</v>
          </cell>
          <cell r="C77" t="str">
            <v>AB00</v>
          </cell>
          <cell r="D77" t="str">
            <v>국종망운영사업본부</v>
          </cell>
          <cell r="E77" t="str">
            <v>AB30</v>
          </cell>
          <cell r="F77" t="str">
            <v>기술지원센터</v>
          </cell>
          <cell r="G77" t="str">
            <v>대전</v>
          </cell>
          <cell r="H77" t="str">
            <v>상담직</v>
          </cell>
          <cell r="I77" t="str">
            <v>사원</v>
          </cell>
          <cell r="J77" t="str">
            <v>860526-2526616</v>
          </cell>
          <cell r="K77">
            <v>27</v>
          </cell>
          <cell r="L77" t="str">
            <v>여</v>
          </cell>
          <cell r="M77">
            <v>40707</v>
          </cell>
          <cell r="N77">
            <v>2</v>
          </cell>
          <cell r="O77" t="str">
            <v>2년6월</v>
          </cell>
          <cell r="P77">
            <v>2</v>
          </cell>
          <cell r="Q77" t="str">
            <v>0년5월</v>
          </cell>
        </row>
        <row r="78">
          <cell r="A78">
            <v>2011018</v>
          </cell>
          <cell r="B78" t="str">
            <v>선재욱</v>
          </cell>
          <cell r="C78" t="str">
            <v>AC00</v>
          </cell>
          <cell r="D78" t="str">
            <v>글로벌사업본부</v>
          </cell>
          <cell r="E78" t="str">
            <v>AC10</v>
          </cell>
          <cell r="F78" t="str">
            <v>컨설팅1팀</v>
          </cell>
          <cell r="G78" t="str">
            <v>서울</v>
          </cell>
          <cell r="H78">
            <v>5</v>
          </cell>
          <cell r="I78" t="str">
            <v>과장</v>
          </cell>
          <cell r="J78" t="str">
            <v>770323-1047818</v>
          </cell>
          <cell r="K78">
            <v>36</v>
          </cell>
          <cell r="L78" t="str">
            <v>남</v>
          </cell>
          <cell r="M78">
            <v>40820</v>
          </cell>
          <cell r="N78">
            <v>2</v>
          </cell>
          <cell r="O78" t="str">
            <v>2년2월</v>
          </cell>
          <cell r="P78">
            <v>1</v>
          </cell>
          <cell r="Q78" t="str">
            <v>3년11월</v>
          </cell>
        </row>
        <row r="79">
          <cell r="A79">
            <v>2011019</v>
          </cell>
          <cell r="B79" t="str">
            <v>오병열</v>
          </cell>
          <cell r="C79" t="str">
            <v>AA23</v>
          </cell>
          <cell r="D79" t="str">
            <v>국종망진흥연구센터</v>
          </cell>
          <cell r="E79" t="str">
            <v>AA24</v>
          </cell>
          <cell r="F79" t="str">
            <v>총괄진흥연구본부</v>
          </cell>
          <cell r="G79" t="str">
            <v>서울</v>
          </cell>
          <cell r="H79">
            <v>2</v>
          </cell>
          <cell r="I79" t="str">
            <v>부장</v>
          </cell>
          <cell r="J79" t="str">
            <v>560225-1057744</v>
          </cell>
          <cell r="K79">
            <v>57</v>
          </cell>
          <cell r="L79" t="str">
            <v>남</v>
          </cell>
          <cell r="M79">
            <v>40840</v>
          </cell>
          <cell r="N79">
            <v>2</v>
          </cell>
          <cell r="O79" t="str">
            <v>2년2월</v>
          </cell>
          <cell r="P79">
            <v>2</v>
          </cell>
          <cell r="Q79" t="str">
            <v>30년10월</v>
          </cell>
        </row>
        <row r="80">
          <cell r="A80">
            <v>2011020</v>
          </cell>
          <cell r="B80" t="str">
            <v>방동원</v>
          </cell>
          <cell r="C80" t="str">
            <v>AC00</v>
          </cell>
          <cell r="D80" t="str">
            <v>글로벌사업본부</v>
          </cell>
          <cell r="E80" t="str">
            <v>AC40</v>
          </cell>
          <cell r="F80" t="str">
            <v>네팔TFT</v>
          </cell>
          <cell r="G80" t="str">
            <v>서울</v>
          </cell>
          <cell r="H80">
            <v>2</v>
          </cell>
          <cell r="I80" t="str">
            <v>부장</v>
          </cell>
          <cell r="J80" t="str">
            <v>610826-1536818</v>
          </cell>
          <cell r="K80">
            <v>52</v>
          </cell>
          <cell r="L80" t="str">
            <v>남</v>
          </cell>
          <cell r="M80">
            <v>40840</v>
          </cell>
          <cell r="N80">
            <v>2</v>
          </cell>
          <cell r="O80" t="str">
            <v>2년2월</v>
          </cell>
          <cell r="P80">
            <v>1</v>
          </cell>
          <cell r="Q80" t="str">
            <v>24년6월</v>
          </cell>
        </row>
        <row r="81">
          <cell r="A81">
            <v>2011021</v>
          </cell>
          <cell r="B81" t="str">
            <v>최규완</v>
          </cell>
          <cell r="C81" t="str">
            <v>AA23</v>
          </cell>
          <cell r="D81" t="str">
            <v>국종망진흥연구센터</v>
          </cell>
          <cell r="E81" t="str">
            <v>AA23</v>
          </cell>
          <cell r="F81" t="str">
            <v>국종망진흥연구센터</v>
          </cell>
          <cell r="G81" t="str">
            <v>서울</v>
          </cell>
          <cell r="H81">
            <v>1</v>
          </cell>
          <cell r="I81" t="str">
            <v>센터장</v>
          </cell>
          <cell r="J81" t="str">
            <v>540605-1402812</v>
          </cell>
          <cell r="K81">
            <v>59</v>
          </cell>
          <cell r="L81" t="str">
            <v>남</v>
          </cell>
          <cell r="M81">
            <v>40854</v>
          </cell>
          <cell r="N81">
            <v>2</v>
          </cell>
          <cell r="O81" t="str">
            <v>2년1월</v>
          </cell>
          <cell r="P81">
            <v>1</v>
          </cell>
          <cell r="Q81" t="str">
            <v>27년8월</v>
          </cell>
        </row>
        <row r="82">
          <cell r="A82">
            <v>2012002</v>
          </cell>
          <cell r="B82" t="str">
            <v>홍혜민</v>
          </cell>
          <cell r="C82" t="str">
            <v>AB00</v>
          </cell>
          <cell r="D82" t="str">
            <v>국종망운영사업본부</v>
          </cell>
          <cell r="E82" t="str">
            <v>AB10</v>
          </cell>
          <cell r="F82" t="str">
            <v>국종망운영1팀</v>
          </cell>
          <cell r="G82" t="str">
            <v>대전</v>
          </cell>
          <cell r="H82">
            <v>5</v>
          </cell>
          <cell r="I82" t="str">
            <v>사원</v>
          </cell>
          <cell r="J82" t="str">
            <v>880407-2690210</v>
          </cell>
          <cell r="K82">
            <v>25</v>
          </cell>
          <cell r="L82" t="str">
            <v>여</v>
          </cell>
          <cell r="M82">
            <v>40954</v>
          </cell>
          <cell r="N82">
            <v>1</v>
          </cell>
          <cell r="O82" t="str">
            <v>1년10월</v>
          </cell>
          <cell r="P82">
            <v>2</v>
          </cell>
        </row>
        <row r="83">
          <cell r="A83">
            <v>2012003</v>
          </cell>
          <cell r="B83" t="str">
            <v>황영주</v>
          </cell>
          <cell r="C83" t="str">
            <v>AB00</v>
          </cell>
          <cell r="D83" t="str">
            <v>국종망운영사업본부</v>
          </cell>
          <cell r="E83" t="str">
            <v>AB20</v>
          </cell>
          <cell r="F83" t="str">
            <v>국종망운영2팀</v>
          </cell>
          <cell r="G83" t="str">
            <v>대전</v>
          </cell>
          <cell r="H83">
            <v>3</v>
          </cell>
          <cell r="I83" t="str">
            <v>부장</v>
          </cell>
          <cell r="J83" t="str">
            <v>671012-1403219</v>
          </cell>
          <cell r="K83">
            <v>46</v>
          </cell>
          <cell r="L83" t="str">
            <v>남</v>
          </cell>
          <cell r="M83">
            <v>40970</v>
          </cell>
          <cell r="N83">
            <v>1</v>
          </cell>
          <cell r="O83" t="str">
            <v>1년9월</v>
          </cell>
          <cell r="P83">
            <v>1</v>
          </cell>
          <cell r="Q83" t="str">
            <v>14년1월</v>
          </cell>
        </row>
        <row r="84">
          <cell r="A84">
            <v>2012005</v>
          </cell>
          <cell r="B84" t="str">
            <v>민경현</v>
          </cell>
          <cell r="C84" t="str">
            <v>AB00</v>
          </cell>
          <cell r="D84" t="str">
            <v>국종망운영사업본부</v>
          </cell>
          <cell r="E84" t="str">
            <v>AB20</v>
          </cell>
          <cell r="F84" t="str">
            <v>국종망운영2팀</v>
          </cell>
          <cell r="G84" t="str">
            <v>대전</v>
          </cell>
          <cell r="H84">
            <v>4</v>
          </cell>
          <cell r="I84" t="str">
            <v>과장</v>
          </cell>
          <cell r="J84" t="str">
            <v>771008-1008922</v>
          </cell>
          <cell r="K84">
            <v>36</v>
          </cell>
          <cell r="L84" t="str">
            <v>남</v>
          </cell>
          <cell r="M84">
            <v>40987</v>
          </cell>
          <cell r="N84">
            <v>1</v>
          </cell>
          <cell r="O84" t="str">
            <v>1년9월</v>
          </cell>
          <cell r="P84">
            <v>1</v>
          </cell>
          <cell r="Q84" t="str">
            <v>8년2월</v>
          </cell>
        </row>
        <row r="85">
          <cell r="A85">
            <v>2012006</v>
          </cell>
          <cell r="B85" t="str">
            <v>최선화</v>
          </cell>
          <cell r="C85" t="str">
            <v>AB00</v>
          </cell>
          <cell r="D85" t="str">
            <v>국종망운영사업본부</v>
          </cell>
          <cell r="E85" t="str">
            <v>AB30</v>
          </cell>
          <cell r="F85" t="str">
            <v>기술지원센터</v>
          </cell>
          <cell r="G85" t="str">
            <v>대전</v>
          </cell>
          <cell r="H85" t="str">
            <v>상담직</v>
          </cell>
          <cell r="I85" t="str">
            <v>사원</v>
          </cell>
          <cell r="J85" t="str">
            <v>880520-2535812</v>
          </cell>
          <cell r="K85">
            <v>25</v>
          </cell>
          <cell r="L85" t="str">
            <v>여</v>
          </cell>
          <cell r="M85">
            <v>41001</v>
          </cell>
          <cell r="N85">
            <v>1</v>
          </cell>
          <cell r="O85" t="str">
            <v>1년8월</v>
          </cell>
          <cell r="P85">
            <v>2</v>
          </cell>
        </row>
        <row r="86">
          <cell r="A86">
            <v>2012007</v>
          </cell>
          <cell r="B86" t="str">
            <v>박해림</v>
          </cell>
          <cell r="C86" t="str">
            <v>AB00</v>
          </cell>
          <cell r="D86" t="str">
            <v>국종망운영사업본부</v>
          </cell>
          <cell r="E86" t="str">
            <v>AB30</v>
          </cell>
          <cell r="F86" t="str">
            <v>기술지원센터</v>
          </cell>
          <cell r="G86" t="str">
            <v>대전</v>
          </cell>
          <cell r="H86" t="str">
            <v>상담직</v>
          </cell>
          <cell r="I86" t="str">
            <v>사원</v>
          </cell>
          <cell r="J86" t="str">
            <v>890201-2380317</v>
          </cell>
          <cell r="K86">
            <v>24</v>
          </cell>
          <cell r="L86" t="str">
            <v>여</v>
          </cell>
          <cell r="M86">
            <v>41001</v>
          </cell>
          <cell r="N86">
            <v>1</v>
          </cell>
          <cell r="O86" t="str">
            <v>1년8월</v>
          </cell>
          <cell r="P86">
            <v>2</v>
          </cell>
        </row>
        <row r="87">
          <cell r="A87">
            <v>2012008</v>
          </cell>
          <cell r="B87" t="str">
            <v>장세정</v>
          </cell>
          <cell r="C87" t="str">
            <v>AA50</v>
          </cell>
          <cell r="D87" t="str">
            <v>경영지원본부</v>
          </cell>
          <cell r="E87" t="str">
            <v>AA30</v>
          </cell>
          <cell r="F87" t="str">
            <v>총무회계팀</v>
          </cell>
          <cell r="G87" t="str">
            <v>서울</v>
          </cell>
          <cell r="H87">
            <v>6</v>
          </cell>
          <cell r="I87" t="str">
            <v>사원</v>
          </cell>
          <cell r="J87" t="str">
            <v>910620-2032312</v>
          </cell>
          <cell r="K87">
            <v>22</v>
          </cell>
          <cell r="L87" t="str">
            <v>여</v>
          </cell>
          <cell r="M87">
            <v>41019</v>
          </cell>
          <cell r="N87">
            <v>1</v>
          </cell>
          <cell r="O87" t="str">
            <v>1년8월</v>
          </cell>
          <cell r="P87">
            <v>3</v>
          </cell>
          <cell r="Q87" t="str">
            <v>1년11월</v>
          </cell>
        </row>
        <row r="88">
          <cell r="A88">
            <v>2012009</v>
          </cell>
          <cell r="B88" t="str">
            <v>권순주</v>
          </cell>
          <cell r="C88" t="str">
            <v>AA11</v>
          </cell>
          <cell r="D88" t="str">
            <v>감사실</v>
          </cell>
          <cell r="E88" t="str">
            <v>AA11</v>
          </cell>
          <cell r="F88" t="str">
            <v>감사실</v>
          </cell>
          <cell r="G88" t="str">
            <v>서울</v>
          </cell>
          <cell r="H88">
            <v>4</v>
          </cell>
          <cell r="I88" t="str">
            <v>과장</v>
          </cell>
          <cell r="J88" t="str">
            <v>680915-2460914</v>
          </cell>
          <cell r="K88">
            <v>45</v>
          </cell>
          <cell r="L88" t="str">
            <v>여</v>
          </cell>
          <cell r="M88">
            <v>41031</v>
          </cell>
          <cell r="N88">
            <v>1</v>
          </cell>
          <cell r="O88" t="str">
            <v>1년7월</v>
          </cell>
          <cell r="P88">
            <v>2</v>
          </cell>
          <cell r="Q88" t="str">
            <v>21년0월</v>
          </cell>
        </row>
        <row r="89">
          <cell r="A89">
            <v>2012012</v>
          </cell>
          <cell r="B89" t="str">
            <v>김가희</v>
          </cell>
          <cell r="C89" t="str">
            <v>AB00</v>
          </cell>
          <cell r="D89" t="str">
            <v>국종망운영사업본부</v>
          </cell>
          <cell r="E89" t="str">
            <v>AB10</v>
          </cell>
          <cell r="F89" t="str">
            <v>국종망운영1팀</v>
          </cell>
          <cell r="G89" t="str">
            <v>대전</v>
          </cell>
          <cell r="H89">
            <v>5</v>
          </cell>
          <cell r="I89" t="str">
            <v>사원</v>
          </cell>
          <cell r="J89" t="str">
            <v>900511-2110117</v>
          </cell>
          <cell r="K89">
            <v>23</v>
          </cell>
          <cell r="L89" t="str">
            <v>여</v>
          </cell>
          <cell r="M89">
            <v>41141</v>
          </cell>
          <cell r="N89">
            <v>1</v>
          </cell>
          <cell r="O89" t="str">
            <v>1년4월</v>
          </cell>
          <cell r="P89">
            <v>2</v>
          </cell>
        </row>
        <row r="90">
          <cell r="A90">
            <v>2012013</v>
          </cell>
          <cell r="B90" t="str">
            <v>박종풍</v>
          </cell>
          <cell r="C90" t="str">
            <v>AA11</v>
          </cell>
          <cell r="D90" t="str">
            <v>감사실</v>
          </cell>
          <cell r="E90" t="str">
            <v>AA11</v>
          </cell>
          <cell r="F90" t="str">
            <v>감사실</v>
          </cell>
          <cell r="G90" t="str">
            <v>서울</v>
          </cell>
          <cell r="H90" t="str">
            <v>임원</v>
          </cell>
          <cell r="I90" t="str">
            <v>임원</v>
          </cell>
          <cell r="J90" t="str">
            <v>541013-1621629</v>
          </cell>
          <cell r="K90">
            <v>59</v>
          </cell>
          <cell r="L90" t="str">
            <v>남</v>
          </cell>
          <cell r="M90">
            <v>41122</v>
          </cell>
          <cell r="N90">
            <v>1</v>
          </cell>
          <cell r="O90" t="str">
            <v>1년4월</v>
          </cell>
          <cell r="P90">
            <v>1</v>
          </cell>
          <cell r="Q90" t="str">
            <v>29년8월</v>
          </cell>
        </row>
        <row r="91">
          <cell r="A91">
            <v>2012014</v>
          </cell>
          <cell r="B91" t="str">
            <v>박세원</v>
          </cell>
          <cell r="C91" t="str">
            <v>AB00</v>
          </cell>
          <cell r="D91" t="str">
            <v>국종망운영사업본부</v>
          </cell>
          <cell r="E91" t="str">
            <v>AB30</v>
          </cell>
          <cell r="F91" t="str">
            <v>기술지원센터</v>
          </cell>
          <cell r="G91" t="str">
            <v>대전</v>
          </cell>
          <cell r="H91" t="str">
            <v>상담직</v>
          </cell>
          <cell r="I91" t="str">
            <v>사원</v>
          </cell>
          <cell r="J91" t="str">
            <v>810502-1387018</v>
          </cell>
          <cell r="K91">
            <v>32</v>
          </cell>
          <cell r="L91" t="str">
            <v>남</v>
          </cell>
          <cell r="M91">
            <v>41127</v>
          </cell>
          <cell r="N91">
            <v>1</v>
          </cell>
          <cell r="O91" t="str">
            <v>1년4월</v>
          </cell>
          <cell r="P91">
            <v>2</v>
          </cell>
          <cell r="Q91" t="str">
            <v>1년0월</v>
          </cell>
        </row>
        <row r="92">
          <cell r="A92">
            <v>2012015</v>
          </cell>
          <cell r="B92" t="str">
            <v>김원식</v>
          </cell>
          <cell r="C92" t="str">
            <v>AB00</v>
          </cell>
          <cell r="D92" t="str">
            <v>국종망운영사업본부</v>
          </cell>
          <cell r="E92" t="str">
            <v>AB10</v>
          </cell>
          <cell r="F92" t="str">
            <v>국종망운영1팀</v>
          </cell>
          <cell r="G92" t="str">
            <v>대전</v>
          </cell>
          <cell r="H92">
            <v>5</v>
          </cell>
          <cell r="I92" t="str">
            <v>사원</v>
          </cell>
          <cell r="J92" t="str">
            <v>870602-1449310</v>
          </cell>
          <cell r="K92">
            <v>26</v>
          </cell>
          <cell r="L92" t="str">
            <v>남</v>
          </cell>
          <cell r="M92">
            <v>41155</v>
          </cell>
          <cell r="N92">
            <v>1</v>
          </cell>
          <cell r="O92" t="str">
            <v>1년3월</v>
          </cell>
          <cell r="P92">
            <v>2</v>
          </cell>
        </row>
        <row r="93">
          <cell r="A93">
            <v>2012016</v>
          </cell>
          <cell r="B93" t="str">
            <v>김해인</v>
          </cell>
          <cell r="C93" t="str">
            <v>AB00</v>
          </cell>
          <cell r="D93" t="str">
            <v>국종망운영사업본부</v>
          </cell>
          <cell r="E93" t="str">
            <v>AB10</v>
          </cell>
          <cell r="F93" t="str">
            <v>국종망운영1팀</v>
          </cell>
          <cell r="G93" t="str">
            <v>대전</v>
          </cell>
          <cell r="H93">
            <v>5</v>
          </cell>
          <cell r="I93" t="str">
            <v>사원</v>
          </cell>
          <cell r="J93" t="str">
            <v>891031-2083312</v>
          </cell>
          <cell r="K93">
            <v>24</v>
          </cell>
          <cell r="L93" t="str">
            <v>여</v>
          </cell>
          <cell r="M93">
            <v>41155</v>
          </cell>
          <cell r="N93">
            <v>1</v>
          </cell>
          <cell r="O93" t="str">
            <v>1년3월</v>
          </cell>
          <cell r="P93">
            <v>2</v>
          </cell>
        </row>
        <row r="94">
          <cell r="A94">
            <v>2012030</v>
          </cell>
          <cell r="B94" t="str">
            <v>이정민</v>
          </cell>
          <cell r="C94" t="str">
            <v>AC00</v>
          </cell>
          <cell r="D94" t="str">
            <v>글로벌사업본부</v>
          </cell>
          <cell r="E94" t="str">
            <v>AC15</v>
          </cell>
          <cell r="F94" t="str">
            <v>마케팅팀</v>
          </cell>
          <cell r="G94" t="str">
            <v>서울</v>
          </cell>
          <cell r="H94">
            <v>5</v>
          </cell>
          <cell r="I94" t="str">
            <v>사원</v>
          </cell>
          <cell r="J94" t="str">
            <v>880519-2560510</v>
          </cell>
          <cell r="K94">
            <v>25</v>
          </cell>
          <cell r="L94" t="str">
            <v>여</v>
          </cell>
          <cell r="M94">
            <v>41214</v>
          </cell>
          <cell r="N94">
            <v>1</v>
          </cell>
          <cell r="O94" t="str">
            <v>1년1월</v>
          </cell>
          <cell r="P94">
            <v>2</v>
          </cell>
          <cell r="Q94" t="str">
            <v>1년2월</v>
          </cell>
        </row>
        <row r="95">
          <cell r="A95">
            <v>2012017</v>
          </cell>
          <cell r="B95" t="str">
            <v>박명진</v>
          </cell>
          <cell r="C95" t="str">
            <v>AB00</v>
          </cell>
          <cell r="D95" t="str">
            <v>국종망운영사업본부</v>
          </cell>
          <cell r="E95" t="str">
            <v>AB30</v>
          </cell>
          <cell r="F95" t="str">
            <v>기술지원센터</v>
          </cell>
          <cell r="G95" t="str">
            <v>대전</v>
          </cell>
          <cell r="H95" t="str">
            <v>상담직</v>
          </cell>
          <cell r="I95" t="str">
            <v>사원</v>
          </cell>
          <cell r="J95" t="str">
            <v>840415-1149317</v>
          </cell>
          <cell r="K95">
            <v>29</v>
          </cell>
          <cell r="L95" t="str">
            <v>남</v>
          </cell>
          <cell r="M95">
            <v>41155</v>
          </cell>
          <cell r="N95">
            <v>1</v>
          </cell>
          <cell r="O95" t="str">
            <v>1년3월</v>
          </cell>
          <cell r="P95">
            <v>2</v>
          </cell>
          <cell r="Q95" t="str">
            <v>1년10월</v>
          </cell>
        </row>
        <row r="96">
          <cell r="A96">
            <v>2012018</v>
          </cell>
          <cell r="B96" t="str">
            <v>김병철</v>
          </cell>
          <cell r="C96" t="str">
            <v>AB00</v>
          </cell>
          <cell r="D96" t="str">
            <v>국종망운영사업본부</v>
          </cell>
          <cell r="E96" t="str">
            <v>AB00</v>
          </cell>
          <cell r="F96" t="str">
            <v>국종망운영사업본부</v>
          </cell>
          <cell r="G96" t="str">
            <v>대전</v>
          </cell>
          <cell r="H96">
            <v>1</v>
          </cell>
          <cell r="I96" t="str">
            <v>본부장</v>
          </cell>
          <cell r="J96" t="str">
            <v>550816-1091017</v>
          </cell>
          <cell r="K96">
            <v>58</v>
          </cell>
          <cell r="L96" t="str">
            <v>남</v>
          </cell>
          <cell r="M96">
            <v>41218</v>
          </cell>
          <cell r="N96">
            <v>1</v>
          </cell>
          <cell r="O96" t="str">
            <v>1년1월</v>
          </cell>
          <cell r="P96">
            <v>1</v>
          </cell>
          <cell r="Q96" t="str">
            <v>37년7월</v>
          </cell>
        </row>
        <row r="97">
          <cell r="A97">
            <v>2012019</v>
          </cell>
          <cell r="B97" t="str">
            <v>나솔지</v>
          </cell>
          <cell r="C97" t="str">
            <v>AB00</v>
          </cell>
          <cell r="D97" t="str">
            <v>국종망운영사업본부</v>
          </cell>
          <cell r="E97" t="str">
            <v>AB30</v>
          </cell>
          <cell r="F97" t="str">
            <v>기술지원센터</v>
          </cell>
          <cell r="G97" t="str">
            <v>대전</v>
          </cell>
          <cell r="H97" t="str">
            <v>상담직</v>
          </cell>
          <cell r="I97" t="str">
            <v>사원</v>
          </cell>
          <cell r="J97" t="str">
            <v>890203-2402711</v>
          </cell>
          <cell r="K97">
            <v>24</v>
          </cell>
          <cell r="L97" t="str">
            <v>여</v>
          </cell>
          <cell r="M97">
            <v>41204</v>
          </cell>
          <cell r="N97">
            <v>1</v>
          </cell>
          <cell r="O97" t="str">
            <v>1년2월</v>
          </cell>
          <cell r="P97">
            <v>2</v>
          </cell>
          <cell r="Q97" t="str">
            <v>1년8월</v>
          </cell>
        </row>
        <row r="98">
          <cell r="A98">
            <v>2012021</v>
          </cell>
          <cell r="B98" t="str">
            <v>송초희</v>
          </cell>
          <cell r="C98" t="str">
            <v>AB00</v>
          </cell>
          <cell r="D98" t="str">
            <v>국종망운영사업본부</v>
          </cell>
          <cell r="E98" t="str">
            <v>AB20</v>
          </cell>
          <cell r="F98" t="str">
            <v>국종망운영2팀</v>
          </cell>
          <cell r="G98" t="str">
            <v>대전</v>
          </cell>
          <cell r="H98">
            <v>5</v>
          </cell>
          <cell r="I98" t="str">
            <v>사원</v>
          </cell>
          <cell r="J98" t="str">
            <v>860711-2408834</v>
          </cell>
          <cell r="K98">
            <v>27</v>
          </cell>
          <cell r="L98" t="str">
            <v>여</v>
          </cell>
          <cell r="M98">
            <v>41213</v>
          </cell>
          <cell r="N98">
            <v>1</v>
          </cell>
          <cell r="O98" t="str">
            <v>1년2월</v>
          </cell>
          <cell r="P98">
            <v>2</v>
          </cell>
          <cell r="Q98" t="str">
            <v>1년0월</v>
          </cell>
        </row>
        <row r="99">
          <cell r="A99">
            <v>2012022</v>
          </cell>
          <cell r="B99" t="str">
            <v>김종환</v>
          </cell>
          <cell r="C99" t="str">
            <v>AB00</v>
          </cell>
          <cell r="D99" t="str">
            <v>국종망운영사업본부</v>
          </cell>
          <cell r="E99" t="str">
            <v>AB10</v>
          </cell>
          <cell r="F99" t="str">
            <v>국종망운영1팀</v>
          </cell>
          <cell r="G99" t="str">
            <v>대전</v>
          </cell>
          <cell r="H99">
            <v>5</v>
          </cell>
          <cell r="I99" t="str">
            <v>과장</v>
          </cell>
          <cell r="J99" t="str">
            <v>800217-1403111</v>
          </cell>
          <cell r="K99">
            <v>33</v>
          </cell>
          <cell r="L99" t="str">
            <v>남</v>
          </cell>
          <cell r="M99">
            <v>41239</v>
          </cell>
          <cell r="N99">
            <v>1</v>
          </cell>
          <cell r="O99" t="str">
            <v>1년1월</v>
          </cell>
          <cell r="P99">
            <v>2</v>
          </cell>
          <cell r="Q99" t="str">
            <v>5년11월</v>
          </cell>
        </row>
        <row r="100">
          <cell r="A100">
            <v>2013001</v>
          </cell>
          <cell r="B100" t="str">
            <v>최일영</v>
          </cell>
          <cell r="C100" t="str">
            <v>AB00</v>
          </cell>
          <cell r="D100" t="str">
            <v>국종망운영사업본부</v>
          </cell>
          <cell r="E100" t="str">
            <v>AB10</v>
          </cell>
          <cell r="F100" t="str">
            <v>국종망운영1팀</v>
          </cell>
          <cell r="G100" t="str">
            <v>대전</v>
          </cell>
          <cell r="H100">
            <v>5</v>
          </cell>
          <cell r="I100" t="str">
            <v>과장</v>
          </cell>
          <cell r="J100" t="str">
            <v>790715-1342314</v>
          </cell>
          <cell r="K100">
            <v>34</v>
          </cell>
          <cell r="L100" t="str">
            <v>남</v>
          </cell>
          <cell r="M100">
            <v>41288</v>
          </cell>
          <cell r="N100">
            <v>0</v>
          </cell>
          <cell r="O100" t="str">
            <v>0년11월</v>
          </cell>
          <cell r="P100">
            <v>2</v>
          </cell>
          <cell r="Q100" t="str">
            <v>5년10월</v>
          </cell>
        </row>
        <row r="101">
          <cell r="A101">
            <v>2013003</v>
          </cell>
          <cell r="B101" t="str">
            <v>김도한</v>
          </cell>
          <cell r="C101" t="str">
            <v>AB00</v>
          </cell>
          <cell r="D101" t="str">
            <v>국종망운영사업본부</v>
          </cell>
          <cell r="E101" t="str">
            <v>AB10</v>
          </cell>
          <cell r="F101" t="str">
            <v>국종망운영1팀</v>
          </cell>
          <cell r="G101" t="str">
            <v>대전</v>
          </cell>
          <cell r="H101">
            <v>4</v>
          </cell>
          <cell r="I101" t="str">
            <v>차장</v>
          </cell>
          <cell r="J101" t="str">
            <v>730921-1449411</v>
          </cell>
          <cell r="K101">
            <v>40</v>
          </cell>
          <cell r="L101" t="str">
            <v>남</v>
          </cell>
          <cell r="M101">
            <v>41306</v>
          </cell>
          <cell r="N101">
            <v>0</v>
          </cell>
          <cell r="O101" t="str">
            <v>0년10월</v>
          </cell>
          <cell r="P101">
            <v>2</v>
          </cell>
          <cell r="Q101" t="str">
            <v>12년11월</v>
          </cell>
        </row>
        <row r="102">
          <cell r="A102">
            <v>2013004</v>
          </cell>
          <cell r="B102" t="str">
            <v>권석한</v>
          </cell>
          <cell r="C102" t="str">
            <v>AA50</v>
          </cell>
          <cell r="D102" t="str">
            <v>경영지원본부</v>
          </cell>
          <cell r="E102" t="str">
            <v>AA30</v>
          </cell>
          <cell r="F102" t="str">
            <v>총무회계팀</v>
          </cell>
          <cell r="G102" t="str">
            <v>서울</v>
          </cell>
          <cell r="H102">
            <v>6</v>
          </cell>
          <cell r="I102" t="str">
            <v>사원</v>
          </cell>
          <cell r="J102" t="str">
            <v>860122-1036819</v>
          </cell>
          <cell r="K102">
            <v>27</v>
          </cell>
          <cell r="L102" t="str">
            <v>남</v>
          </cell>
          <cell r="M102">
            <v>41317</v>
          </cell>
          <cell r="N102">
            <v>0</v>
          </cell>
          <cell r="O102" t="str">
            <v>0년10월</v>
          </cell>
          <cell r="P102">
            <v>2</v>
          </cell>
          <cell r="Q102" t="str">
            <v>2년9월</v>
          </cell>
        </row>
        <row r="103">
          <cell r="A103">
            <v>2013006</v>
          </cell>
          <cell r="B103" t="str">
            <v>주재협</v>
          </cell>
          <cell r="C103" t="str">
            <v>AA50</v>
          </cell>
          <cell r="D103" t="str">
            <v>경영지원본부</v>
          </cell>
          <cell r="E103" t="str">
            <v>AA50</v>
          </cell>
          <cell r="F103" t="str">
            <v>경영지원본부</v>
          </cell>
          <cell r="G103" t="str">
            <v>서울</v>
          </cell>
          <cell r="H103">
            <v>1</v>
          </cell>
          <cell r="I103" t="str">
            <v>본부장</v>
          </cell>
          <cell r="J103" t="str">
            <v>620930-1226121</v>
          </cell>
          <cell r="K103">
            <v>51</v>
          </cell>
          <cell r="L103" t="str">
            <v>남</v>
          </cell>
          <cell r="M103">
            <v>41325</v>
          </cell>
          <cell r="N103">
            <v>0</v>
          </cell>
          <cell r="O103" t="str">
            <v>0년10월</v>
          </cell>
          <cell r="P103">
            <v>1</v>
          </cell>
          <cell r="Q103" t="str">
            <v>28년9월</v>
          </cell>
        </row>
        <row r="104">
          <cell r="A104">
            <v>2013007</v>
          </cell>
          <cell r="B104" t="str">
            <v>이미령</v>
          </cell>
          <cell r="C104" t="str">
            <v>AC00</v>
          </cell>
          <cell r="D104" t="str">
            <v>글로벌사업본부</v>
          </cell>
          <cell r="E104" t="str">
            <v>AC20</v>
          </cell>
          <cell r="F104" t="str">
            <v>기획관리팀</v>
          </cell>
          <cell r="G104" t="str">
            <v>서울</v>
          </cell>
          <cell r="H104">
            <v>2</v>
          </cell>
          <cell r="I104" t="str">
            <v>부장</v>
          </cell>
          <cell r="J104" t="str">
            <v>690120-2849911</v>
          </cell>
          <cell r="K104">
            <v>44</v>
          </cell>
          <cell r="L104" t="str">
            <v>여</v>
          </cell>
          <cell r="M104">
            <v>41337</v>
          </cell>
          <cell r="N104">
            <v>0</v>
          </cell>
          <cell r="O104" t="str">
            <v>0년9월</v>
          </cell>
          <cell r="P104">
            <v>2</v>
          </cell>
          <cell r="Q104" t="str">
            <v>20년4월</v>
          </cell>
        </row>
        <row r="105">
          <cell r="A105">
            <v>2013008</v>
          </cell>
          <cell r="B105" t="str">
            <v>김종득</v>
          </cell>
          <cell r="C105" t="str">
            <v>AB00</v>
          </cell>
          <cell r="D105" t="str">
            <v>국종망운영사업본부</v>
          </cell>
          <cell r="E105" t="str">
            <v>AB30</v>
          </cell>
          <cell r="F105" t="str">
            <v>기술지원센터</v>
          </cell>
          <cell r="G105" t="str">
            <v>대전</v>
          </cell>
          <cell r="H105" t="str">
            <v>상담직</v>
          </cell>
          <cell r="I105" t="str">
            <v>사원</v>
          </cell>
          <cell r="J105" t="str">
            <v>900510-2451119</v>
          </cell>
          <cell r="K105">
            <v>23</v>
          </cell>
          <cell r="L105" t="str">
            <v>여</v>
          </cell>
          <cell r="M105">
            <v>41348</v>
          </cell>
          <cell r="N105">
            <v>0</v>
          </cell>
          <cell r="O105" t="str">
            <v>0년9월</v>
          </cell>
          <cell r="P105">
            <v>2</v>
          </cell>
        </row>
        <row r="106">
          <cell r="A106">
            <v>2013009</v>
          </cell>
          <cell r="B106" t="str">
            <v>오용숙</v>
          </cell>
          <cell r="C106" t="str">
            <v>AB00</v>
          </cell>
          <cell r="D106" t="str">
            <v>국종망운영사업본부</v>
          </cell>
          <cell r="E106" t="str">
            <v>AB20</v>
          </cell>
          <cell r="F106" t="str">
            <v>국종망운영2팀</v>
          </cell>
          <cell r="G106" t="str">
            <v>대전</v>
          </cell>
          <cell r="H106">
            <v>5</v>
          </cell>
          <cell r="I106" t="str">
            <v>사원</v>
          </cell>
          <cell r="J106" t="str">
            <v>840325-1111111</v>
          </cell>
          <cell r="K106">
            <v>29</v>
          </cell>
          <cell r="L106" t="str">
            <v>남</v>
          </cell>
          <cell r="M106">
            <v>41348</v>
          </cell>
          <cell r="N106">
            <v>0</v>
          </cell>
          <cell r="O106" t="str">
            <v>0년9월</v>
          </cell>
          <cell r="P106">
            <v>2</v>
          </cell>
          <cell r="Q106" t="str">
            <v>6월</v>
          </cell>
        </row>
        <row r="107">
          <cell r="A107">
            <v>2013011</v>
          </cell>
          <cell r="B107" t="str">
            <v>정해연</v>
          </cell>
          <cell r="C107" t="str">
            <v>AB00</v>
          </cell>
          <cell r="D107" t="str">
            <v>국종망운영사업본부</v>
          </cell>
          <cell r="E107" t="str">
            <v>AB20</v>
          </cell>
          <cell r="F107" t="str">
            <v>국종망운영2팀</v>
          </cell>
          <cell r="G107" t="str">
            <v>대전</v>
          </cell>
          <cell r="H107">
            <v>4</v>
          </cell>
          <cell r="I107" t="str">
            <v>차장</v>
          </cell>
          <cell r="J107" t="str">
            <v>751129-2470911</v>
          </cell>
          <cell r="K107">
            <v>38</v>
          </cell>
          <cell r="L107" t="str">
            <v>여</v>
          </cell>
          <cell r="M107">
            <v>41365</v>
          </cell>
          <cell r="N107">
            <v>0</v>
          </cell>
          <cell r="O107" t="str">
            <v>0년8월</v>
          </cell>
          <cell r="P107">
            <v>2</v>
          </cell>
          <cell r="Q107" t="str">
            <v>14년2월</v>
          </cell>
        </row>
        <row r="108">
          <cell r="A108">
            <v>2013012</v>
          </cell>
          <cell r="B108" t="str">
            <v>김진영</v>
          </cell>
          <cell r="C108" t="str">
            <v>AC00</v>
          </cell>
          <cell r="D108" t="str">
            <v>글로벌사업본부</v>
          </cell>
          <cell r="E108" t="str">
            <v>AC11</v>
          </cell>
          <cell r="F108" t="str">
            <v>컨설팅2팀</v>
          </cell>
          <cell r="G108" t="str">
            <v>서울</v>
          </cell>
          <cell r="H108">
            <v>4</v>
          </cell>
          <cell r="I108" t="str">
            <v>차장</v>
          </cell>
          <cell r="J108" t="str">
            <v>740125-1067819</v>
          </cell>
          <cell r="K108">
            <v>39</v>
          </cell>
          <cell r="L108" t="str">
            <v>남</v>
          </cell>
          <cell r="M108">
            <v>41379</v>
          </cell>
          <cell r="N108">
            <v>0</v>
          </cell>
          <cell r="O108" t="str">
            <v>0년8월</v>
          </cell>
          <cell r="P108">
            <v>1</v>
          </cell>
          <cell r="Q108" t="str">
            <v>11년3월</v>
          </cell>
        </row>
        <row r="109">
          <cell r="A109">
            <v>2013013</v>
          </cell>
          <cell r="B109" t="str">
            <v>김미량</v>
          </cell>
          <cell r="C109" t="str">
            <v>AB00</v>
          </cell>
          <cell r="D109" t="str">
            <v>국종망운영사업본부</v>
          </cell>
          <cell r="E109" t="str">
            <v>AB30</v>
          </cell>
          <cell r="F109" t="str">
            <v>기술지원센터</v>
          </cell>
          <cell r="G109" t="str">
            <v>대전</v>
          </cell>
          <cell r="H109" t="str">
            <v>상담직</v>
          </cell>
          <cell r="I109" t="str">
            <v>사원</v>
          </cell>
          <cell r="J109" t="str">
            <v>891117-2216010</v>
          </cell>
          <cell r="K109">
            <v>24</v>
          </cell>
          <cell r="L109" t="str">
            <v>여</v>
          </cell>
          <cell r="M109">
            <v>41379</v>
          </cell>
          <cell r="N109">
            <v>0</v>
          </cell>
          <cell r="O109" t="str">
            <v>0년8월</v>
          </cell>
          <cell r="P109">
            <v>2</v>
          </cell>
          <cell r="Q109" t="str">
            <v>1년1월</v>
          </cell>
        </row>
        <row r="110">
          <cell r="A110">
            <v>2013014</v>
          </cell>
          <cell r="B110" t="str">
            <v>노명환</v>
          </cell>
          <cell r="C110" t="str">
            <v>AC00</v>
          </cell>
          <cell r="D110" t="str">
            <v>글로벌사업본부</v>
          </cell>
          <cell r="E110" t="str">
            <v>AC00</v>
          </cell>
          <cell r="F110" t="str">
            <v>글로벌사업본부</v>
          </cell>
          <cell r="G110" t="str">
            <v>서울</v>
          </cell>
          <cell r="H110">
            <v>1</v>
          </cell>
          <cell r="I110" t="str">
            <v>본부장</v>
          </cell>
          <cell r="J110" t="str">
            <v>671201-1662111</v>
          </cell>
          <cell r="K110">
            <v>46</v>
          </cell>
          <cell r="L110" t="str">
            <v>남</v>
          </cell>
          <cell r="M110">
            <v>41395</v>
          </cell>
          <cell r="N110">
            <v>0</v>
          </cell>
          <cell r="O110" t="str">
            <v>0년7월</v>
          </cell>
          <cell r="P110">
            <v>2</v>
          </cell>
          <cell r="Q110" t="str">
            <v>25년10월</v>
          </cell>
        </row>
        <row r="111">
          <cell r="A111">
            <v>2013015</v>
          </cell>
          <cell r="B111" t="str">
            <v>김도열</v>
          </cell>
          <cell r="C111" t="str">
            <v>AA01</v>
          </cell>
          <cell r="D111" t="str">
            <v>경영진</v>
          </cell>
          <cell r="E111" t="str">
            <v>AA09</v>
          </cell>
          <cell r="F111" t="str">
            <v>대표</v>
          </cell>
          <cell r="G111" t="str">
            <v>서울</v>
          </cell>
          <cell r="H111" t="str">
            <v>임원</v>
          </cell>
          <cell r="I111" t="str">
            <v>임원</v>
          </cell>
          <cell r="J111" t="str">
            <v>560308-1037131</v>
          </cell>
          <cell r="K111">
            <v>57</v>
          </cell>
          <cell r="L111" t="str">
            <v>남</v>
          </cell>
          <cell r="M111">
            <v>41414</v>
          </cell>
          <cell r="N111">
            <v>0</v>
          </cell>
          <cell r="O111" t="str">
            <v>0년7월</v>
          </cell>
          <cell r="P111">
            <v>1</v>
          </cell>
          <cell r="Q111" t="str">
            <v>32년0월</v>
          </cell>
        </row>
        <row r="112">
          <cell r="A112">
            <v>2013016</v>
          </cell>
          <cell r="B112" t="str">
            <v>조예인</v>
          </cell>
          <cell r="C112" t="str">
            <v>AB00</v>
          </cell>
          <cell r="D112" t="str">
            <v>국종망운영사업본부</v>
          </cell>
          <cell r="E112" t="str">
            <v>AB30</v>
          </cell>
          <cell r="F112" t="str">
            <v>기술지원센터</v>
          </cell>
          <cell r="G112" t="str">
            <v>대전</v>
          </cell>
          <cell r="H112" t="str">
            <v>상담직</v>
          </cell>
          <cell r="I112" t="str">
            <v>사원</v>
          </cell>
          <cell r="J112" t="str">
            <v>880803-2417219</v>
          </cell>
          <cell r="K112">
            <v>25</v>
          </cell>
          <cell r="L112" t="str">
            <v>여</v>
          </cell>
          <cell r="M112">
            <v>41470</v>
          </cell>
          <cell r="N112">
            <v>0</v>
          </cell>
          <cell r="O112" t="str">
            <v>0년5월</v>
          </cell>
          <cell r="P112">
            <v>2</v>
          </cell>
          <cell r="Q112" t="str">
            <v>2년2월</v>
          </cell>
        </row>
        <row r="113">
          <cell r="A113">
            <v>2013017</v>
          </cell>
          <cell r="B113" t="str">
            <v>전영조</v>
          </cell>
          <cell r="C113" t="str">
            <v>AB00</v>
          </cell>
          <cell r="D113" t="str">
            <v>국종망운영사업본부</v>
          </cell>
          <cell r="E113" t="str">
            <v>AB30</v>
          </cell>
          <cell r="F113" t="str">
            <v>기술지원센터</v>
          </cell>
          <cell r="G113" t="str">
            <v>대전</v>
          </cell>
          <cell r="H113" t="str">
            <v>상담직</v>
          </cell>
          <cell r="I113" t="str">
            <v>사원</v>
          </cell>
          <cell r="J113" t="str">
            <v>901212-2167620</v>
          </cell>
          <cell r="K113">
            <v>23</v>
          </cell>
          <cell r="L113" t="str">
            <v>여</v>
          </cell>
          <cell r="M113">
            <v>41470</v>
          </cell>
          <cell r="N113">
            <v>0</v>
          </cell>
          <cell r="O113" t="str">
            <v>0년5월</v>
          </cell>
          <cell r="P113">
            <v>2</v>
          </cell>
        </row>
      </sheetData>
      <sheetData sheetId="3"/>
      <sheetData sheetId="4" refreshError="1"/>
      <sheetData sheetId="5">
        <row r="3">
          <cell r="A3" t="str">
            <v>소속</v>
          </cell>
          <cell r="B3" t="str">
            <v>부서코드</v>
          </cell>
          <cell r="C3" t="str">
            <v>본부</v>
          </cell>
          <cell r="D3" t="str">
            <v>본부코드</v>
          </cell>
          <cell r="E3" t="str">
            <v>근무지</v>
          </cell>
          <cell r="G3" t="str">
            <v>근무년차</v>
          </cell>
          <cell r="H3" t="str">
            <v>휴가일수</v>
          </cell>
        </row>
        <row r="4">
          <cell r="A4" t="str">
            <v>국종망운영1팀</v>
          </cell>
          <cell r="B4" t="str">
            <v>AB10</v>
          </cell>
          <cell r="C4" t="str">
            <v>국종망운영사업본부</v>
          </cell>
          <cell r="D4" t="str">
            <v>AB00</v>
          </cell>
          <cell r="E4" t="str">
            <v>대전</v>
          </cell>
          <cell r="G4">
            <v>1</v>
          </cell>
          <cell r="H4">
            <v>15</v>
          </cell>
        </row>
        <row r="5">
          <cell r="A5" t="str">
            <v>국종망운영2팀</v>
          </cell>
          <cell r="B5" t="str">
            <v>AB20</v>
          </cell>
          <cell r="C5" t="str">
            <v>국종망운영사업본부</v>
          </cell>
          <cell r="D5" t="str">
            <v>AB00</v>
          </cell>
          <cell r="E5" t="str">
            <v>대전</v>
          </cell>
          <cell r="G5">
            <v>2</v>
          </cell>
          <cell r="H5">
            <v>16</v>
          </cell>
        </row>
        <row r="6">
          <cell r="A6" t="str">
            <v>기술지원센터</v>
          </cell>
          <cell r="B6" t="str">
            <v>AB30</v>
          </cell>
          <cell r="C6" t="str">
            <v>국종망운영사업본부</v>
          </cell>
          <cell r="D6" t="str">
            <v>AB00</v>
          </cell>
          <cell r="E6" t="str">
            <v>대전</v>
          </cell>
          <cell r="G6">
            <v>3</v>
          </cell>
          <cell r="H6">
            <v>16</v>
          </cell>
        </row>
        <row r="7">
          <cell r="A7" t="str">
            <v>국종망운영사업본부</v>
          </cell>
          <cell r="B7" t="str">
            <v>AB00</v>
          </cell>
          <cell r="C7" t="str">
            <v>국종망운영사업본부</v>
          </cell>
          <cell r="D7" t="str">
            <v>AB00</v>
          </cell>
          <cell r="E7" t="str">
            <v>대전</v>
          </cell>
          <cell r="G7">
            <v>4</v>
          </cell>
          <cell r="H7">
            <v>17</v>
          </cell>
        </row>
        <row r="8">
          <cell r="A8" t="str">
            <v>컨설팅1팀</v>
          </cell>
          <cell r="B8" t="str">
            <v>AC10</v>
          </cell>
          <cell r="C8" t="str">
            <v>글로벌사업본부</v>
          </cell>
          <cell r="D8" t="str">
            <v>AC00</v>
          </cell>
          <cell r="E8" t="str">
            <v>서울</v>
          </cell>
          <cell r="G8">
            <v>5</v>
          </cell>
          <cell r="H8">
            <v>17</v>
          </cell>
        </row>
        <row r="9">
          <cell r="A9" t="str">
            <v>컨설팅2팀</v>
          </cell>
          <cell r="B9" t="str">
            <v>AC11</v>
          </cell>
          <cell r="C9" t="str">
            <v>글로벌사업본부</v>
          </cell>
          <cell r="D9" t="str">
            <v>AC00</v>
          </cell>
          <cell r="E9" t="str">
            <v>서울</v>
          </cell>
          <cell r="G9">
            <v>6</v>
          </cell>
          <cell r="H9">
            <v>18</v>
          </cell>
        </row>
        <row r="10">
          <cell r="A10" t="str">
            <v>IT관리팀</v>
          </cell>
          <cell r="B10" t="str">
            <v>AC12</v>
          </cell>
          <cell r="C10" t="str">
            <v>글로벌사업본부</v>
          </cell>
          <cell r="D10" t="str">
            <v>AC00</v>
          </cell>
          <cell r="E10" t="str">
            <v>서울</v>
          </cell>
          <cell r="G10">
            <v>7</v>
          </cell>
          <cell r="H10">
            <v>18</v>
          </cell>
        </row>
        <row r="11">
          <cell r="A11" t="str">
            <v>마케팅팀</v>
          </cell>
          <cell r="B11" t="str">
            <v>AC15</v>
          </cell>
          <cell r="C11" t="str">
            <v>글로벌사업본부</v>
          </cell>
          <cell r="D11" t="str">
            <v>AC00</v>
          </cell>
          <cell r="E11" t="str">
            <v>서울</v>
          </cell>
          <cell r="G11">
            <v>8</v>
          </cell>
          <cell r="H11">
            <v>19</v>
          </cell>
        </row>
        <row r="12">
          <cell r="A12" t="str">
            <v>기획관리팀</v>
          </cell>
          <cell r="B12" t="str">
            <v>AC20</v>
          </cell>
          <cell r="C12" t="str">
            <v>글로벌사업본부</v>
          </cell>
          <cell r="D12" t="str">
            <v>AC00</v>
          </cell>
          <cell r="E12" t="str">
            <v>서울</v>
          </cell>
          <cell r="G12">
            <v>9</v>
          </cell>
          <cell r="H12">
            <v>19</v>
          </cell>
        </row>
        <row r="13">
          <cell r="A13" t="str">
            <v>에콰도르TFT</v>
          </cell>
          <cell r="B13" t="str">
            <v>AC30</v>
          </cell>
          <cell r="C13" t="str">
            <v>글로벌사업본부</v>
          </cell>
          <cell r="D13" t="str">
            <v>AC00</v>
          </cell>
          <cell r="E13" t="str">
            <v>에콰도르</v>
          </cell>
          <cell r="G13">
            <v>10</v>
          </cell>
          <cell r="H13">
            <v>20</v>
          </cell>
        </row>
        <row r="14">
          <cell r="A14" t="str">
            <v>네팔TFT</v>
          </cell>
          <cell r="B14" t="str">
            <v>AC40</v>
          </cell>
          <cell r="C14" t="str">
            <v>글로벌사업본부</v>
          </cell>
          <cell r="D14" t="str">
            <v>AC00</v>
          </cell>
          <cell r="E14" t="str">
            <v>서울</v>
          </cell>
          <cell r="G14">
            <v>11</v>
          </cell>
          <cell r="H14">
            <v>20</v>
          </cell>
        </row>
        <row r="15">
          <cell r="A15" t="str">
            <v>탄자니아TFT</v>
          </cell>
          <cell r="B15" t="str">
            <v>AC50</v>
          </cell>
          <cell r="C15" t="str">
            <v>글로벌사업본부</v>
          </cell>
          <cell r="D15" t="str">
            <v>AC00</v>
          </cell>
          <cell r="E15" t="str">
            <v>대전</v>
          </cell>
          <cell r="G15">
            <v>12</v>
          </cell>
          <cell r="H15">
            <v>21</v>
          </cell>
        </row>
        <row r="16">
          <cell r="A16" t="str">
            <v>우즈벡TFT</v>
          </cell>
          <cell r="B16" t="str">
            <v>AC70</v>
          </cell>
          <cell r="C16" t="str">
            <v>글로벌사업본부</v>
          </cell>
          <cell r="D16" t="str">
            <v>AC00</v>
          </cell>
          <cell r="E16" t="str">
            <v>서울</v>
          </cell>
          <cell r="G16">
            <v>13</v>
          </cell>
          <cell r="H16">
            <v>21</v>
          </cell>
        </row>
        <row r="17">
          <cell r="A17" t="str">
            <v>카메룬TFT</v>
          </cell>
          <cell r="B17" t="str">
            <v>AC60</v>
          </cell>
          <cell r="C17" t="str">
            <v>글로벌사업본부</v>
          </cell>
          <cell r="D17" t="str">
            <v>AC00</v>
          </cell>
          <cell r="E17" t="str">
            <v>서울</v>
          </cell>
          <cell r="G17">
            <v>14</v>
          </cell>
          <cell r="H17">
            <v>22</v>
          </cell>
        </row>
        <row r="18">
          <cell r="A18" t="str">
            <v>글로벌사업본부</v>
          </cell>
          <cell r="B18" t="str">
            <v>AC00</v>
          </cell>
          <cell r="C18" t="str">
            <v>글로벌사업본부</v>
          </cell>
          <cell r="D18" t="str">
            <v>AC00</v>
          </cell>
          <cell r="E18" t="str">
            <v>서울</v>
          </cell>
          <cell r="G18">
            <v>15</v>
          </cell>
          <cell r="H18">
            <v>22</v>
          </cell>
        </row>
        <row r="19">
          <cell r="A19" t="str">
            <v>총무회계팀</v>
          </cell>
          <cell r="B19" t="str">
            <v>AA30</v>
          </cell>
          <cell r="C19" t="str">
            <v>경영지원본부</v>
          </cell>
          <cell r="D19" t="str">
            <v>AA50</v>
          </cell>
          <cell r="E19" t="str">
            <v>서울</v>
          </cell>
          <cell r="G19">
            <v>16</v>
          </cell>
          <cell r="H19">
            <v>23</v>
          </cell>
        </row>
        <row r="20">
          <cell r="A20" t="str">
            <v>인사기획팀</v>
          </cell>
          <cell r="B20" t="str">
            <v>AA26</v>
          </cell>
          <cell r="C20" t="str">
            <v>경영지원본부</v>
          </cell>
          <cell r="D20" t="str">
            <v>AA50</v>
          </cell>
          <cell r="E20" t="str">
            <v>서울</v>
          </cell>
          <cell r="G20">
            <v>17</v>
          </cell>
          <cell r="H20">
            <v>23</v>
          </cell>
        </row>
        <row r="21">
          <cell r="A21" t="str">
            <v>경영지원본부</v>
          </cell>
          <cell r="B21" t="str">
            <v>AA50</v>
          </cell>
          <cell r="C21" t="str">
            <v>경영지원본부</v>
          </cell>
          <cell r="D21" t="str">
            <v>AA50</v>
          </cell>
          <cell r="E21" t="str">
            <v>서울</v>
          </cell>
          <cell r="G21">
            <v>18</v>
          </cell>
          <cell r="H21">
            <v>24</v>
          </cell>
        </row>
        <row r="22">
          <cell r="A22" t="str">
            <v>총괄진흥연구본부</v>
          </cell>
          <cell r="B22" t="str">
            <v>AA24</v>
          </cell>
          <cell r="C22" t="str">
            <v>국종망진흥연구센터</v>
          </cell>
          <cell r="D22" t="str">
            <v>AA23</v>
          </cell>
          <cell r="E22" t="str">
            <v>서울</v>
          </cell>
          <cell r="G22">
            <v>19</v>
          </cell>
          <cell r="H22">
            <v>24</v>
          </cell>
        </row>
        <row r="23">
          <cell r="A23" t="str">
            <v>국종망진흥연구센터</v>
          </cell>
          <cell r="B23" t="str">
            <v>AA23</v>
          </cell>
          <cell r="C23" t="str">
            <v>국종망진흥연구센터</v>
          </cell>
          <cell r="D23" t="str">
            <v>AA23</v>
          </cell>
          <cell r="E23" t="str">
            <v>서울</v>
          </cell>
          <cell r="G23">
            <v>20</v>
          </cell>
          <cell r="H23">
            <v>25</v>
          </cell>
        </row>
        <row r="24">
          <cell r="A24" t="str">
            <v>감사실</v>
          </cell>
          <cell r="B24" t="str">
            <v>AA11</v>
          </cell>
          <cell r="C24" t="str">
            <v>감사실</v>
          </cell>
          <cell r="D24" t="str">
            <v>AA11</v>
          </cell>
          <cell r="E24" t="str">
            <v>서울</v>
          </cell>
          <cell r="G24">
            <v>21</v>
          </cell>
          <cell r="H24">
            <v>25</v>
          </cell>
        </row>
        <row r="25">
          <cell r="A25" t="str">
            <v>감사</v>
          </cell>
          <cell r="B25" t="str">
            <v>AA12</v>
          </cell>
          <cell r="C25" t="str">
            <v>경영진</v>
          </cell>
          <cell r="D25" t="str">
            <v>AA01</v>
          </cell>
          <cell r="E25" t="str">
            <v>서울</v>
          </cell>
          <cell r="G25">
            <v>22</v>
          </cell>
          <cell r="H25">
            <v>25</v>
          </cell>
        </row>
        <row r="26">
          <cell r="A26" t="str">
            <v>대표</v>
          </cell>
          <cell r="B26" t="str">
            <v>AA09</v>
          </cell>
          <cell r="C26" t="str">
            <v>경영진</v>
          </cell>
          <cell r="D26" t="str">
            <v>AA01</v>
          </cell>
          <cell r="E26" t="str">
            <v>서울</v>
          </cell>
          <cell r="G26">
            <v>23</v>
          </cell>
          <cell r="H26">
            <v>25</v>
          </cell>
        </row>
        <row r="27">
          <cell r="G27">
            <v>24</v>
          </cell>
          <cell r="H27">
            <v>25</v>
          </cell>
        </row>
        <row r="28">
          <cell r="G28">
            <v>25</v>
          </cell>
          <cell r="H28">
            <v>25</v>
          </cell>
        </row>
        <row r="29">
          <cell r="G29">
            <v>26</v>
          </cell>
          <cell r="H29">
            <v>25</v>
          </cell>
        </row>
        <row r="30">
          <cell r="G30">
            <v>27</v>
          </cell>
          <cell r="H30">
            <v>25</v>
          </cell>
        </row>
        <row r="31">
          <cell r="G31">
            <v>28</v>
          </cell>
          <cell r="H31">
            <v>25</v>
          </cell>
        </row>
        <row r="32">
          <cell r="G32">
            <v>29</v>
          </cell>
          <cell r="H32">
            <v>25</v>
          </cell>
        </row>
        <row r="33">
          <cell r="G33">
            <v>30</v>
          </cell>
          <cell r="H33">
            <v>25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산기(간이)"/>
      <sheetName val="계산기(입력)"/>
      <sheetName val="산정서(일반)"/>
      <sheetName val="산정서(5인미만)"/>
      <sheetName val="메모(숨김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역별점포명세"/>
      <sheetName val="백데이터(출력안함)"/>
    </sheetNames>
    <sheetDataSet>
      <sheetData sheetId="0"/>
      <sheetData sheetId="1">
        <row r="5">
          <cell r="C5" t="str">
            <v>가산IT지점</v>
          </cell>
          <cell r="D5" t="str">
            <v>김운구</v>
          </cell>
          <cell r="E5" t="str">
            <v>80072-455</v>
          </cell>
          <cell r="F5" t="str">
            <v>02-857-9761</v>
          </cell>
          <cell r="G5" t="str">
            <v>010-3173-7034</v>
          </cell>
        </row>
        <row r="6">
          <cell r="C6" t="str">
            <v>강서지점</v>
          </cell>
          <cell r="D6" t="str">
            <v>정해구</v>
          </cell>
          <cell r="E6" t="str">
            <v>80213-457</v>
          </cell>
          <cell r="F6" t="str">
            <v>02-2603-8551</v>
          </cell>
          <cell r="G6" t="str">
            <v>011-9712-8872</v>
          </cell>
        </row>
        <row r="7">
          <cell r="C7" t="str">
            <v>강화지점</v>
          </cell>
          <cell r="D7" t="str">
            <v>김원형</v>
          </cell>
          <cell r="E7" t="str">
            <v>80022-455</v>
          </cell>
          <cell r="F7" t="str">
            <v>032-933-4771</v>
          </cell>
          <cell r="G7" t="str">
            <v>019-512-1126</v>
          </cell>
        </row>
        <row r="8">
          <cell r="C8" t="str">
            <v>경주지점</v>
          </cell>
          <cell r="D8" t="str">
            <v>김강석</v>
          </cell>
          <cell r="E8" t="str">
            <v>80088-455</v>
          </cell>
          <cell r="F8" t="str">
            <v>054-746-0011</v>
          </cell>
          <cell r="G8" t="str">
            <v>010-3187-5890</v>
          </cell>
        </row>
        <row r="9">
          <cell r="C9" t="str">
            <v>경주합숙소</v>
          </cell>
          <cell r="D9" t="str">
            <v>김강석</v>
          </cell>
          <cell r="E9" t="str">
            <v>80088-455</v>
          </cell>
          <cell r="F9" t="str">
            <v>054-746-0011</v>
          </cell>
          <cell r="G9" t="str">
            <v>010-3187-5890</v>
          </cell>
        </row>
        <row r="10">
          <cell r="C10" t="str">
            <v>곤지암문서창고</v>
          </cell>
          <cell r="D10" t="str">
            <v>윤병훈</v>
          </cell>
          <cell r="E10" t="str">
            <v>없음</v>
          </cell>
          <cell r="F10" t="str">
            <v>031-763-2543</v>
          </cell>
          <cell r="G10" t="str">
            <v>010-5257-3512</v>
          </cell>
        </row>
        <row r="11">
          <cell r="C11" t="str">
            <v>곤지암체육시설</v>
          </cell>
          <cell r="D11" t="str">
            <v>양갑묵</v>
          </cell>
          <cell r="E11" t="str">
            <v>없음</v>
          </cell>
          <cell r="F11" t="str">
            <v>031-764-3150</v>
          </cell>
          <cell r="G11" t="str">
            <v>011-9573-8133</v>
          </cell>
        </row>
        <row r="12">
          <cell r="C12" t="str">
            <v>광주지점</v>
          </cell>
          <cell r="D12" t="str">
            <v>임성채</v>
          </cell>
          <cell r="E12" t="str">
            <v>80031-471</v>
          </cell>
          <cell r="F12" t="str">
            <v>062-223-4341</v>
          </cell>
          <cell r="G12" t="str">
            <v>011-9609-6108</v>
          </cell>
        </row>
        <row r="13">
          <cell r="C13" t="str">
            <v>광주지점</v>
          </cell>
          <cell r="D13" t="str">
            <v>한대영</v>
          </cell>
          <cell r="E13" t="str">
            <v>80031-471</v>
          </cell>
          <cell r="F13" t="str">
            <v>062-223-4341</v>
          </cell>
          <cell r="G13" t="str">
            <v>011-648-2266</v>
          </cell>
        </row>
        <row r="14">
          <cell r="C14" t="str">
            <v>괴정동지점</v>
          </cell>
          <cell r="D14" t="str">
            <v>이상만</v>
          </cell>
          <cell r="E14" t="str">
            <v>80611-455</v>
          </cell>
          <cell r="F14" t="str">
            <v>051-207-7001</v>
          </cell>
          <cell r="G14" t="str">
            <v>011-9511-3322</v>
          </cell>
        </row>
        <row r="15">
          <cell r="C15" t="str">
            <v>구로동지점</v>
          </cell>
          <cell r="D15" t="str">
            <v>정연학</v>
          </cell>
          <cell r="E15" t="str">
            <v>80214-455</v>
          </cell>
          <cell r="F15" t="str">
            <v>02-837-3048</v>
          </cell>
          <cell r="G15" t="str">
            <v>017-234-7466</v>
          </cell>
        </row>
        <row r="16">
          <cell r="C16" t="str">
            <v>구월동지점</v>
          </cell>
          <cell r="D16" t="str">
            <v>김태호</v>
          </cell>
          <cell r="E16" t="str">
            <v>80693-455</v>
          </cell>
          <cell r="F16" t="str">
            <v>032-434-0341</v>
          </cell>
          <cell r="G16" t="str">
            <v>016-502-4695</v>
          </cell>
        </row>
        <row r="17">
          <cell r="C17" t="str">
            <v>구의동지점</v>
          </cell>
          <cell r="D17" t="str">
            <v>백승민</v>
          </cell>
          <cell r="E17" t="str">
            <v>80535-455</v>
          </cell>
          <cell r="F17" t="str">
            <v>02-457-9761</v>
          </cell>
          <cell r="G17" t="str">
            <v>010-3174-8651</v>
          </cell>
        </row>
        <row r="18">
          <cell r="C18" t="str">
            <v>구포지점</v>
          </cell>
          <cell r="D18" t="str">
            <v>황규택</v>
          </cell>
          <cell r="E18" t="str">
            <v>80604-455</v>
          </cell>
          <cell r="F18" t="str">
            <v>051-332-1581</v>
          </cell>
          <cell r="G18" t="str">
            <v>010-2868-2300</v>
          </cell>
        </row>
        <row r="19">
          <cell r="C19" t="str">
            <v>군산지점</v>
          </cell>
          <cell r="D19" t="str">
            <v>박영호</v>
          </cell>
          <cell r="E19" t="str">
            <v>80030-455</v>
          </cell>
          <cell r="F19" t="str">
            <v>063-445-2171</v>
          </cell>
          <cell r="G19" t="str">
            <v>011-650-3862</v>
          </cell>
        </row>
        <row r="20">
          <cell r="C20" t="str">
            <v>금남로지점</v>
          </cell>
          <cell r="D20" t="str">
            <v>이석호</v>
          </cell>
          <cell r="E20" t="str">
            <v>80352-455</v>
          </cell>
          <cell r="F20" t="str">
            <v>062-227-3141</v>
          </cell>
          <cell r="G20" t="str">
            <v>010-4115-0166</v>
          </cell>
        </row>
        <row r="21">
          <cell r="C21" t="str">
            <v>남현동지점</v>
          </cell>
          <cell r="D21" t="str">
            <v>홍대기</v>
          </cell>
          <cell r="E21" t="str">
            <v>80583-455</v>
          </cell>
          <cell r="F21" t="str">
            <v>02-585-2001</v>
          </cell>
          <cell r="G21" t="str">
            <v>011-9778-6109</v>
          </cell>
        </row>
        <row r="22">
          <cell r="C22" t="str">
            <v>내당동지점</v>
          </cell>
          <cell r="D22" t="str">
            <v>홍원식</v>
          </cell>
          <cell r="E22" t="str">
            <v>80105-455</v>
          </cell>
          <cell r="F22" t="str">
            <v>053-563-7011</v>
          </cell>
          <cell r="G22" t="str">
            <v>010-9363-6611</v>
          </cell>
        </row>
        <row r="23">
          <cell r="C23" t="str">
            <v>당산동지점</v>
          </cell>
          <cell r="D23" t="str">
            <v>김영진</v>
          </cell>
          <cell r="E23" t="str">
            <v>80110-455</v>
          </cell>
          <cell r="F23" t="str">
            <v>02-2676-8501</v>
          </cell>
          <cell r="G23" t="str">
            <v>010-8121-6308</v>
          </cell>
        </row>
        <row r="24">
          <cell r="C24" t="str">
            <v>대구지점1</v>
          </cell>
          <cell r="D24" t="str">
            <v>이대원</v>
          </cell>
          <cell r="E24" t="str">
            <v>80034-455</v>
          </cell>
          <cell r="F24" t="str">
            <v>053-425-9811</v>
          </cell>
          <cell r="G24" t="str">
            <v>010-7132-1358</v>
          </cell>
        </row>
        <row r="25">
          <cell r="C25" t="str">
            <v>대구지점2</v>
          </cell>
          <cell r="D25" t="str">
            <v>이호준</v>
          </cell>
          <cell r="E25" t="str">
            <v>80034-455</v>
          </cell>
          <cell r="F25" t="str">
            <v>053-641-3040</v>
          </cell>
          <cell r="G25" t="str">
            <v>010-5165-8786</v>
          </cell>
        </row>
        <row r="26">
          <cell r="C26" t="str">
            <v>대명동지점</v>
          </cell>
          <cell r="D26" t="str">
            <v>백종흠</v>
          </cell>
          <cell r="E26" t="str">
            <v>80704-455</v>
          </cell>
          <cell r="F26" t="str">
            <v>053-655-0201</v>
          </cell>
          <cell r="G26" t="str">
            <v>010-7572-2477</v>
          </cell>
        </row>
        <row r="27">
          <cell r="C27" t="str">
            <v>대연동지점</v>
          </cell>
          <cell r="D27" t="str">
            <v>김대호</v>
          </cell>
          <cell r="E27" t="str">
            <v>80211-455</v>
          </cell>
          <cell r="F27" t="str">
            <v>051-632-4951</v>
          </cell>
          <cell r="G27" t="str">
            <v>018-223-3096</v>
          </cell>
        </row>
        <row r="28">
          <cell r="C28" t="str">
            <v>대전지점</v>
          </cell>
          <cell r="D28" t="str">
            <v>김원호</v>
          </cell>
          <cell r="E28" t="str">
            <v>80333-455</v>
          </cell>
          <cell r="F28" t="str">
            <v>042-488-9704</v>
          </cell>
          <cell r="G28" t="str">
            <v>010-6413-0300</v>
          </cell>
        </row>
        <row r="29">
          <cell r="C29" t="str">
            <v>대전중앙지점</v>
          </cell>
          <cell r="D29" t="str">
            <v>김창일</v>
          </cell>
          <cell r="E29" t="str">
            <v>80025-455</v>
          </cell>
          <cell r="F29" t="str">
            <v>042-253-8141</v>
          </cell>
          <cell r="G29" t="str">
            <v>010-2412-4740</v>
          </cell>
        </row>
        <row r="30">
          <cell r="C30" t="str">
            <v>대치동지점</v>
          </cell>
          <cell r="D30" t="str">
            <v>박희영</v>
          </cell>
          <cell r="E30" t="str">
            <v>80136-352</v>
          </cell>
          <cell r="F30" t="str">
            <v>02-562-8181</v>
          </cell>
          <cell r="G30" t="str">
            <v>011-443-6826</v>
          </cell>
        </row>
        <row r="31">
          <cell r="C31" t="str">
            <v>도농운동장</v>
          </cell>
          <cell r="D31" t="str">
            <v>황정하</v>
          </cell>
          <cell r="E31" t="str">
            <v>없음</v>
          </cell>
          <cell r="F31" t="str">
            <v>031-595-2859</v>
          </cell>
          <cell r="G31" t="str">
            <v>010-8983-4288</v>
          </cell>
        </row>
        <row r="32">
          <cell r="C32" t="str">
            <v>독립문지점</v>
          </cell>
          <cell r="D32" t="str">
            <v>최범식</v>
          </cell>
          <cell r="E32" t="str">
            <v>80127-455</v>
          </cell>
          <cell r="F32" t="str">
            <v>02-363-6191</v>
          </cell>
          <cell r="G32" t="str">
            <v>010-7769-7342</v>
          </cell>
        </row>
        <row r="33">
          <cell r="C33" t="str">
            <v>독산동지점</v>
          </cell>
          <cell r="D33" t="str">
            <v>김재관</v>
          </cell>
          <cell r="E33" t="str">
            <v>80134-455</v>
          </cell>
          <cell r="F33" t="str">
            <v>02-851-8011</v>
          </cell>
          <cell r="G33" t="str">
            <v>017-392-0915</v>
          </cell>
        </row>
        <row r="34">
          <cell r="C34" t="str">
            <v>동대문지점</v>
          </cell>
          <cell r="D34" t="str">
            <v>김복기</v>
          </cell>
          <cell r="E34" t="str">
            <v>80063-455</v>
          </cell>
          <cell r="F34" t="str">
            <v>02-2278-5121</v>
          </cell>
          <cell r="G34" t="str">
            <v>011-270-0624</v>
          </cell>
        </row>
        <row r="35">
          <cell r="C35" t="str">
            <v>동래지점</v>
          </cell>
          <cell r="D35" t="str">
            <v>박문배</v>
          </cell>
          <cell r="E35" t="str">
            <v>80605-455</v>
          </cell>
          <cell r="F35" t="str">
            <v>051-552-2631</v>
          </cell>
          <cell r="G35" t="str">
            <v>016-9608-8521</v>
          </cell>
        </row>
        <row r="36">
          <cell r="C36" t="str">
            <v>동래별관</v>
          </cell>
          <cell r="D36" t="str">
            <v>이강엽</v>
          </cell>
          <cell r="E36" t="str">
            <v>80605-417</v>
          </cell>
          <cell r="F36" t="str">
            <v>051-552-2631</v>
          </cell>
          <cell r="G36" t="str">
            <v>010-7580-1811</v>
          </cell>
        </row>
        <row r="37">
          <cell r="C37" t="str">
            <v>동해지점</v>
          </cell>
          <cell r="D37" t="str">
            <v>맹성환</v>
          </cell>
          <cell r="E37" t="str">
            <v>80028-431</v>
          </cell>
          <cell r="F37" t="str">
            <v>033-533-2101</v>
          </cell>
          <cell r="G37" t="str">
            <v>010-3036-7443</v>
          </cell>
        </row>
        <row r="38">
          <cell r="C38" t="str">
            <v>둔촌동지점</v>
          </cell>
          <cell r="D38" t="str">
            <v>나형근</v>
          </cell>
          <cell r="E38" t="str">
            <v>80118-455</v>
          </cell>
          <cell r="F38" t="str">
            <v>02-485-2861</v>
          </cell>
          <cell r="G38" t="str">
            <v>010-9045-9886</v>
          </cell>
        </row>
        <row r="39">
          <cell r="C39" t="str">
            <v>둔촌역지점</v>
          </cell>
          <cell r="D39" t="str">
            <v>김주섭</v>
          </cell>
          <cell r="E39" t="str">
            <v>80699-455</v>
          </cell>
          <cell r="F39" t="str">
            <v>02-488-4722</v>
          </cell>
          <cell r="G39" t="str">
            <v>010-3917-1058</v>
          </cell>
        </row>
        <row r="40">
          <cell r="C40" t="str">
            <v>마산지점</v>
          </cell>
          <cell r="D40" t="str">
            <v>안일준</v>
          </cell>
          <cell r="E40" t="str">
            <v>80044-455</v>
          </cell>
          <cell r="F40" t="str">
            <v>055-246-3161</v>
          </cell>
          <cell r="G40" t="str">
            <v>017-576-9381</v>
          </cell>
        </row>
        <row r="41">
          <cell r="C41" t="str">
            <v>망우동지점</v>
          </cell>
          <cell r="D41" t="str">
            <v>김민회</v>
          </cell>
          <cell r="E41" t="str">
            <v>80124-455</v>
          </cell>
          <cell r="F41" t="str">
            <v>02-491-0010</v>
          </cell>
          <cell r="G41" t="str">
            <v>010-3724-2540</v>
          </cell>
        </row>
        <row r="42">
          <cell r="C42" t="str">
            <v>명동지점</v>
          </cell>
          <cell r="D42" t="str">
            <v>이종국</v>
          </cell>
          <cell r="E42" t="str">
            <v>80004-455</v>
          </cell>
          <cell r="F42" t="str">
            <v>02-774-4011</v>
          </cell>
          <cell r="G42" t="str">
            <v>011-255-0767</v>
          </cell>
        </row>
        <row r="43">
          <cell r="C43" t="str">
            <v>미아역지점</v>
          </cell>
          <cell r="D43" t="str">
            <v>전석규</v>
          </cell>
          <cell r="E43" t="str">
            <v>80527-401</v>
          </cell>
          <cell r="F43" t="str">
            <v>02-989-9111</v>
          </cell>
          <cell r="G43" t="str">
            <v>010-7637-3799</v>
          </cell>
        </row>
        <row r="44">
          <cell r="C44" t="str">
            <v>범물동지점</v>
          </cell>
          <cell r="D44" t="str">
            <v>홍춘발</v>
          </cell>
          <cell r="E44" t="str">
            <v>80425-455</v>
          </cell>
          <cell r="F44" t="str">
            <v>053-784-4831</v>
          </cell>
          <cell r="G44" t="str">
            <v>010-6374-3916</v>
          </cell>
        </row>
        <row r="45">
          <cell r="C45" t="str">
            <v>보문동지점</v>
          </cell>
          <cell r="D45" t="str">
            <v>강종길</v>
          </cell>
          <cell r="E45" t="str">
            <v>80059-455</v>
          </cell>
          <cell r="F45" t="str">
            <v>02-926-1775</v>
          </cell>
          <cell r="G45" t="str">
            <v>010-6310-3760</v>
          </cell>
        </row>
        <row r="46">
          <cell r="C46" t="str">
            <v>부곡동지점</v>
          </cell>
          <cell r="D46" t="str">
            <v>이승규</v>
          </cell>
          <cell r="E46" t="str">
            <v>80614-455</v>
          </cell>
          <cell r="F46" t="str">
            <v>051-518-2223</v>
          </cell>
          <cell r="G46" t="str">
            <v>011-9319-9191</v>
          </cell>
        </row>
        <row r="47">
          <cell r="C47" t="str">
            <v>부산지점</v>
          </cell>
          <cell r="D47" t="str">
            <v>서한천</v>
          </cell>
          <cell r="E47" t="str">
            <v>80053-455</v>
          </cell>
          <cell r="F47" t="str">
            <v>051-246-8340</v>
          </cell>
          <cell r="G47" t="str">
            <v>010-4339-3321</v>
          </cell>
        </row>
        <row r="48">
          <cell r="C48" t="str">
            <v>부전동지점</v>
          </cell>
          <cell r="D48" t="str">
            <v>우태일</v>
          </cell>
          <cell r="E48" t="str">
            <v>80042-455</v>
          </cell>
          <cell r="F48" t="str">
            <v>051-806-5080</v>
          </cell>
          <cell r="G48" t="str">
            <v>011-9502-5135</v>
          </cell>
        </row>
        <row r="49">
          <cell r="C49" t="str">
            <v>부평동지점</v>
          </cell>
          <cell r="D49" t="str">
            <v>박재봉</v>
          </cell>
          <cell r="E49" t="str">
            <v>80804-455</v>
          </cell>
          <cell r="F49" t="str">
            <v>051-244-4075</v>
          </cell>
          <cell r="G49" t="str">
            <v>011-9315-7809</v>
          </cell>
        </row>
        <row r="50">
          <cell r="C50" t="str">
            <v>분당지점</v>
          </cell>
          <cell r="D50" t="str">
            <v>정호근</v>
          </cell>
          <cell r="E50" t="str">
            <v>80446-455</v>
          </cell>
          <cell r="F50" t="str">
            <v>031-711-1971</v>
          </cell>
          <cell r="G50" t="str">
            <v>010-4114-2150</v>
          </cell>
        </row>
        <row r="51">
          <cell r="C51" t="str">
            <v>불광동지점</v>
          </cell>
          <cell r="D51" t="str">
            <v>이  승</v>
          </cell>
          <cell r="E51" t="str">
            <v>80019-455</v>
          </cell>
          <cell r="F51" t="str">
            <v>02-355-0051</v>
          </cell>
          <cell r="G51" t="str">
            <v>010-4041-6665</v>
          </cell>
        </row>
        <row r="52">
          <cell r="C52" t="str">
            <v>비산동지점</v>
          </cell>
          <cell r="D52" t="str">
            <v>손석원</v>
          </cell>
          <cell r="E52" t="str">
            <v>80807-455</v>
          </cell>
          <cell r="F52" t="str">
            <v>031-469-2300</v>
          </cell>
          <cell r="G52" t="str">
            <v>010-4277-0607</v>
          </cell>
        </row>
        <row r="53">
          <cell r="C53" t="str">
            <v>삼천포지점</v>
          </cell>
          <cell r="D53" t="str">
            <v>김병원</v>
          </cell>
          <cell r="E53" t="str">
            <v>80754-455</v>
          </cell>
          <cell r="F53" t="str">
            <v>055-833-3132</v>
          </cell>
          <cell r="G53" t="str">
            <v>010-9894-7393</v>
          </cell>
        </row>
        <row r="54">
          <cell r="C54" t="str">
            <v>상계동지점</v>
          </cell>
          <cell r="D54" t="str">
            <v>이석범</v>
          </cell>
          <cell r="E54" t="str">
            <v>80186-455</v>
          </cell>
          <cell r="F54" t="str">
            <v>02-937-0051</v>
          </cell>
          <cell r="G54" t="str">
            <v>010-6289-1333</v>
          </cell>
        </row>
        <row r="55">
          <cell r="C55" t="str">
            <v>상대원동지점</v>
          </cell>
          <cell r="D55" t="str">
            <v>박세환</v>
          </cell>
          <cell r="E55" t="str">
            <v>80302-455</v>
          </cell>
          <cell r="F55" t="str">
            <v>031-745-3020</v>
          </cell>
          <cell r="G55" t="str">
            <v>010-9594-1418</v>
          </cell>
        </row>
        <row r="56">
          <cell r="C56" t="str">
            <v>상도동지점</v>
          </cell>
          <cell r="D56" t="str">
            <v>임복수</v>
          </cell>
          <cell r="E56" t="str">
            <v>80530-455</v>
          </cell>
          <cell r="F56" t="str">
            <v>02-813-4111</v>
          </cell>
          <cell r="G56" t="str">
            <v>010-4789-9002</v>
          </cell>
        </row>
        <row r="57">
          <cell r="C57" t="str">
            <v>서교동지점</v>
          </cell>
          <cell r="D57" t="str">
            <v>김기년</v>
          </cell>
          <cell r="E57" t="str">
            <v>80298-455</v>
          </cell>
          <cell r="F57" t="str">
            <v>02-324-0632</v>
          </cell>
          <cell r="G57" t="str">
            <v>010-4441-5451</v>
          </cell>
        </row>
        <row r="58">
          <cell r="C58" t="str">
            <v>서교중앙지점</v>
          </cell>
          <cell r="D58" t="str">
            <v>김사육</v>
          </cell>
          <cell r="E58" t="str">
            <v>80068-455</v>
          </cell>
          <cell r="F58" t="str">
            <v>02-332-6331</v>
          </cell>
          <cell r="G58" t="str">
            <v>011-9952-4644</v>
          </cell>
        </row>
        <row r="59">
          <cell r="C59" t="str">
            <v>서면지점</v>
          </cell>
          <cell r="D59" t="str">
            <v>박성수</v>
          </cell>
          <cell r="E59" t="str">
            <v>80954-455</v>
          </cell>
          <cell r="F59" t="str">
            <v>051-804-2007</v>
          </cell>
          <cell r="G59" t="str">
            <v>016-573-0224</v>
          </cell>
        </row>
        <row r="60">
          <cell r="C60" t="str">
            <v>서초동합숙소1</v>
          </cell>
          <cell r="D60" t="str">
            <v>김동성</v>
          </cell>
          <cell r="E60" t="str">
            <v>없음</v>
          </cell>
          <cell r="F60" t="str">
            <v>02-583-2620</v>
          </cell>
          <cell r="G60" t="str">
            <v>010-6256-9984</v>
          </cell>
        </row>
        <row r="61">
          <cell r="C61" t="str">
            <v>서초동합숙소2</v>
          </cell>
          <cell r="D61" t="str">
            <v>전임식</v>
          </cell>
          <cell r="E61" t="str">
            <v>없음</v>
          </cell>
          <cell r="F61" t="str">
            <v>02-583-2620</v>
          </cell>
          <cell r="G61" t="str">
            <v>010-3134-0159</v>
          </cell>
        </row>
        <row r="62">
          <cell r="C62" t="str">
            <v>서현역지점</v>
          </cell>
          <cell r="D62" t="str">
            <v>주재창</v>
          </cell>
          <cell r="E62" t="str">
            <v>80339-455</v>
          </cell>
          <cell r="F62" t="str">
            <v>031-704-1541</v>
          </cell>
          <cell r="G62" t="str">
            <v>011-790-6482</v>
          </cell>
        </row>
        <row r="63">
          <cell r="C63" t="str">
            <v>성남지점</v>
          </cell>
          <cell r="D63" t="str">
            <v>김영근</v>
          </cell>
          <cell r="E63" t="str">
            <v>80079-455</v>
          </cell>
          <cell r="F63" t="str">
            <v>031-744-3900</v>
          </cell>
          <cell r="G63" t="str">
            <v>016-9322-3205</v>
          </cell>
        </row>
        <row r="64">
          <cell r="C64" t="str">
            <v>성남남부지점</v>
          </cell>
          <cell r="D64" t="str">
            <v>원재용</v>
          </cell>
          <cell r="E64" t="str">
            <v>80709-456</v>
          </cell>
          <cell r="F64" t="str">
            <v>031-751-7331</v>
          </cell>
          <cell r="G64" t="str">
            <v>011-9030-0938</v>
          </cell>
        </row>
        <row r="65">
          <cell r="C65" t="str">
            <v>성당동지점</v>
          </cell>
          <cell r="D65" t="str">
            <v>김창수</v>
          </cell>
          <cell r="E65" t="str">
            <v>80099-457</v>
          </cell>
          <cell r="F65" t="str">
            <v>053-652-8981</v>
          </cell>
          <cell r="G65" t="str">
            <v>016-540-8569</v>
          </cell>
        </row>
        <row r="66">
          <cell r="C66" t="str">
            <v>송탄지점</v>
          </cell>
          <cell r="D66" t="str">
            <v>홍성석</v>
          </cell>
          <cell r="E66" t="str">
            <v>80660-455</v>
          </cell>
          <cell r="F66" t="str">
            <v>031-662-3131</v>
          </cell>
          <cell r="G66" t="str">
            <v>010-3515-8205</v>
          </cell>
        </row>
        <row r="67">
          <cell r="C67" t="str">
            <v>수영만지점</v>
          </cell>
          <cell r="D67" t="str">
            <v>김동섭</v>
          </cell>
          <cell r="E67" t="str">
            <v>80460-455</v>
          </cell>
          <cell r="F67" t="str">
            <v>051-747-9701</v>
          </cell>
          <cell r="G67" t="str">
            <v>011-883-8195</v>
          </cell>
        </row>
        <row r="68">
          <cell r="C68" t="str">
            <v>수영역지점</v>
          </cell>
          <cell r="D68" t="str">
            <v>김정빈</v>
          </cell>
          <cell r="E68" t="str">
            <v>80076-455</v>
          </cell>
          <cell r="F68" t="str">
            <v>051-752-0016</v>
          </cell>
          <cell r="G68" t="str">
            <v>011-586-1912</v>
          </cell>
        </row>
        <row r="69">
          <cell r="C69" t="str">
            <v>수원지점</v>
          </cell>
          <cell r="D69" t="str">
            <v>이상철</v>
          </cell>
          <cell r="E69" t="str">
            <v>80051-455</v>
          </cell>
          <cell r="F69" t="str">
            <v>031-244-6161</v>
          </cell>
          <cell r="G69" t="str">
            <v>019-402-5826</v>
          </cell>
        </row>
        <row r="70">
          <cell r="C70" t="str">
            <v>수원역지점</v>
          </cell>
          <cell r="D70" t="str">
            <v>허온수</v>
          </cell>
          <cell r="E70" t="str">
            <v>80805-455</v>
          </cell>
          <cell r="F70" t="str">
            <v>031-253-6101</v>
          </cell>
          <cell r="G70" t="str">
            <v>010-3016-4810</v>
          </cell>
        </row>
        <row r="71">
          <cell r="C71" t="str">
            <v>수유동지점</v>
          </cell>
          <cell r="D71" t="str">
            <v>유길상</v>
          </cell>
          <cell r="E71" t="str">
            <v>80066-453</v>
          </cell>
          <cell r="F71" t="str">
            <v>02-902-8111</v>
          </cell>
          <cell r="G71" t="str">
            <v>010-7484-5314</v>
          </cell>
        </row>
        <row r="72">
          <cell r="C72" t="str">
            <v>신당역지점</v>
          </cell>
          <cell r="D72" t="str">
            <v>김정욱</v>
          </cell>
          <cell r="E72" t="str">
            <v>80320-455</v>
          </cell>
          <cell r="F72" t="str">
            <v>02-2231-5988</v>
          </cell>
          <cell r="G72" t="str">
            <v>019-409-1778</v>
          </cell>
        </row>
        <row r="73">
          <cell r="C73" t="str">
            <v>신림동지점</v>
          </cell>
          <cell r="D73" t="str">
            <v>유기춘</v>
          </cell>
          <cell r="E73" t="str">
            <v>80172-385</v>
          </cell>
          <cell r="F73" t="str">
            <v>02-875-4011</v>
          </cell>
          <cell r="G73" t="str">
            <v>019-259-3845</v>
          </cell>
        </row>
        <row r="74">
          <cell r="C74" t="str">
            <v>신월동지점</v>
          </cell>
          <cell r="D74" t="str">
            <v>신학금</v>
          </cell>
          <cell r="E74" t="str">
            <v>80144-455</v>
          </cell>
          <cell r="F74" t="str">
            <v>02-2604-3301</v>
          </cell>
          <cell r="G74" t="str">
            <v>016-286-4937</v>
          </cell>
        </row>
        <row r="75">
          <cell r="C75" t="str">
            <v>신촌지점</v>
          </cell>
          <cell r="D75" t="str">
            <v>박만균</v>
          </cell>
          <cell r="E75" t="str">
            <v>80018-520</v>
          </cell>
          <cell r="F75" t="str">
            <v>02-715-0071</v>
          </cell>
          <cell r="G75" t="str">
            <v>019-211-6049</v>
          </cell>
        </row>
        <row r="76">
          <cell r="C76" t="str">
            <v>신평동지점</v>
          </cell>
          <cell r="D76" t="str">
            <v>권종섭</v>
          </cell>
          <cell r="E76" t="str">
            <v>80179-455</v>
          </cell>
          <cell r="F76" t="str">
            <v>051-201-0102</v>
          </cell>
          <cell r="G76" t="str">
            <v>010-3114-3943</v>
          </cell>
        </row>
        <row r="77">
          <cell r="C77" t="str">
            <v>아현역지점</v>
          </cell>
          <cell r="D77" t="str">
            <v>김환도</v>
          </cell>
          <cell r="E77" t="str">
            <v>80817-455</v>
          </cell>
          <cell r="F77" t="str">
            <v>02-364-5141</v>
          </cell>
          <cell r="G77" t="str">
            <v>011-9868-2608</v>
          </cell>
        </row>
        <row r="78">
          <cell r="C78" t="str">
            <v>안성연수원1</v>
          </cell>
          <cell r="D78" t="str">
            <v>곽성룡</v>
          </cell>
          <cell r="E78" t="str">
            <v>없음</v>
          </cell>
          <cell r="F78" t="str">
            <v>031-618-1466</v>
          </cell>
          <cell r="G78" t="str">
            <v>011-9762-8587</v>
          </cell>
        </row>
        <row r="79">
          <cell r="C79" t="str">
            <v>안성연수원2</v>
          </cell>
          <cell r="D79" t="str">
            <v>기명호</v>
          </cell>
          <cell r="E79" t="str">
            <v>없음</v>
          </cell>
          <cell r="F79" t="str">
            <v>031-618-4500</v>
          </cell>
          <cell r="G79" t="str">
            <v>011-231-5229</v>
          </cell>
        </row>
        <row r="80">
          <cell r="C80" t="str">
            <v>안성연수원3</v>
          </cell>
          <cell r="D80" t="str">
            <v>김성남</v>
          </cell>
          <cell r="E80" t="str">
            <v>없음</v>
          </cell>
          <cell r="F80" t="str">
            <v>031-618-4501</v>
          </cell>
          <cell r="G80" t="str">
            <v>011-218-3866</v>
          </cell>
        </row>
        <row r="81">
          <cell r="C81" t="str">
            <v>안양지점</v>
          </cell>
          <cell r="D81" t="str">
            <v>박한정</v>
          </cell>
          <cell r="E81" t="str">
            <v>80369-455</v>
          </cell>
          <cell r="F81" t="str">
            <v>031-387-0321</v>
          </cell>
          <cell r="G81" t="str">
            <v>018-303-7920</v>
          </cell>
        </row>
        <row r="82">
          <cell r="C82" t="str">
            <v>안양중앙지점</v>
          </cell>
          <cell r="D82" t="str">
            <v>고복조</v>
          </cell>
          <cell r="E82" t="str">
            <v>80074-455</v>
          </cell>
          <cell r="F82" t="str">
            <v>031-448-9111</v>
          </cell>
          <cell r="G82" t="str">
            <v>018-396-3826</v>
          </cell>
        </row>
        <row r="83">
          <cell r="C83" t="str">
            <v>양산지점</v>
          </cell>
          <cell r="D83" t="str">
            <v>정윤태</v>
          </cell>
          <cell r="E83" t="str">
            <v>80178-455</v>
          </cell>
          <cell r="F83" t="str">
            <v>055-383-6681</v>
          </cell>
          <cell r="G83" t="str">
            <v>016-501-4800</v>
          </cell>
        </row>
        <row r="84">
          <cell r="C84" t="str">
            <v>여수지점</v>
          </cell>
          <cell r="D84" t="str">
            <v>조채현</v>
          </cell>
          <cell r="E84" t="str">
            <v>80033-455</v>
          </cell>
          <cell r="F84" t="str">
            <v>061-662-8111</v>
          </cell>
          <cell r="G84" t="str">
            <v>011-634-4766</v>
          </cell>
        </row>
        <row r="85">
          <cell r="C85" t="str">
            <v>연희동지점</v>
          </cell>
          <cell r="D85" t="str">
            <v>이상기</v>
          </cell>
          <cell r="E85" t="str">
            <v>80162-457</v>
          </cell>
          <cell r="F85" t="str">
            <v>02-324-7001</v>
          </cell>
          <cell r="G85" t="str">
            <v>011-9030-1303</v>
          </cell>
        </row>
        <row r="86">
          <cell r="C86" t="str">
            <v>영등포중앙지점</v>
          </cell>
          <cell r="D86" t="str">
            <v>백효선</v>
          </cell>
          <cell r="E86" t="str">
            <v>80517-455</v>
          </cell>
          <cell r="F86" t="str">
            <v>02-2678-7921</v>
          </cell>
          <cell r="G86" t="str">
            <v>011-9909-3348</v>
          </cell>
        </row>
        <row r="87">
          <cell r="C87" t="str">
            <v>오장동지점</v>
          </cell>
          <cell r="D87" t="str">
            <v>임복수</v>
          </cell>
          <cell r="E87" t="str">
            <v>80523-455</v>
          </cell>
          <cell r="F87" t="str">
            <v>02-2273-8191</v>
          </cell>
          <cell r="G87" t="str">
            <v>010-4510-1710</v>
          </cell>
        </row>
        <row r="88">
          <cell r="C88" t="str">
            <v>온천동지점</v>
          </cell>
          <cell r="D88" t="str">
            <v>김삼용</v>
          </cell>
          <cell r="E88" t="str">
            <v>80043-455</v>
          </cell>
          <cell r="F88" t="str">
            <v>051-552-1231</v>
          </cell>
          <cell r="G88" t="str">
            <v>018-556-5109</v>
          </cell>
        </row>
        <row r="89">
          <cell r="C89" t="str">
            <v>용문역지점</v>
          </cell>
          <cell r="D89" t="str">
            <v>정길원</v>
          </cell>
          <cell r="E89" t="str">
            <v>80552-455</v>
          </cell>
          <cell r="F89" t="str">
            <v>042-522-1595</v>
          </cell>
          <cell r="G89" t="str">
            <v>010-6456-9546</v>
          </cell>
        </row>
        <row r="90">
          <cell r="C90" t="str">
            <v>용산지점</v>
          </cell>
          <cell r="D90" t="str">
            <v>배금봉</v>
          </cell>
          <cell r="E90" t="str">
            <v>80816-455</v>
          </cell>
          <cell r="F90" t="str">
            <v>02-793-5151</v>
          </cell>
          <cell r="G90" t="str">
            <v>011-9005-3476</v>
          </cell>
        </row>
        <row r="91">
          <cell r="C91" t="str">
            <v>용인지점</v>
          </cell>
          <cell r="D91" t="str">
            <v>목진국</v>
          </cell>
          <cell r="E91" t="str">
            <v>80207-453</v>
          </cell>
          <cell r="F91" t="str">
            <v>031-336-6601</v>
          </cell>
          <cell r="G91" t="str">
            <v>017-349-2212</v>
          </cell>
        </row>
        <row r="92">
          <cell r="C92" t="str">
            <v>울산지점</v>
          </cell>
          <cell r="D92" t="str">
            <v>김기현</v>
          </cell>
          <cell r="E92" t="str">
            <v>80038-455</v>
          </cell>
          <cell r="F92" t="str">
            <v>052-211-3191</v>
          </cell>
          <cell r="G92" t="str">
            <v>010-4562-1322</v>
          </cell>
        </row>
        <row r="93">
          <cell r="C93" t="str">
            <v>울산중앙지점</v>
          </cell>
          <cell r="D93" t="str">
            <v>지협수</v>
          </cell>
          <cell r="E93" t="str">
            <v>80758-455</v>
          </cell>
          <cell r="F93" t="str">
            <v>052-265-9001</v>
          </cell>
          <cell r="G93" t="str">
            <v>011-594-3277</v>
          </cell>
        </row>
        <row r="94">
          <cell r="C94" t="str">
            <v>울산합숙소</v>
          </cell>
          <cell r="D94" t="str">
            <v>박희운</v>
          </cell>
          <cell r="E94" t="str">
            <v>없음</v>
          </cell>
          <cell r="F94" t="str">
            <v>052-292-4210</v>
          </cell>
          <cell r="G94" t="str">
            <v>010-2067-2270</v>
          </cell>
        </row>
        <row r="95">
          <cell r="C95" t="str">
            <v>을지로지점</v>
          </cell>
          <cell r="D95" t="str">
            <v>이옥배</v>
          </cell>
          <cell r="E95" t="str">
            <v>80011-455</v>
          </cell>
          <cell r="F95" t="str">
            <v>02-2267-3131</v>
          </cell>
          <cell r="G95" t="str">
            <v>010-6872-0866</v>
          </cell>
        </row>
        <row r="96">
          <cell r="C96" t="str">
            <v>응암동지점</v>
          </cell>
          <cell r="D96" t="str">
            <v>김낙배</v>
          </cell>
          <cell r="E96" t="str">
            <v>80067-455</v>
          </cell>
          <cell r="F96" t="str">
            <v>02-359-5410</v>
          </cell>
          <cell r="G96" t="str">
            <v>010-2780-7549</v>
          </cell>
        </row>
        <row r="97">
          <cell r="C97" t="str">
            <v>응암로지점</v>
          </cell>
          <cell r="D97" t="str">
            <v>조평행</v>
          </cell>
          <cell r="E97" t="str">
            <v>80538-455</v>
          </cell>
          <cell r="F97" t="str">
            <v>02-303-5610</v>
          </cell>
          <cell r="G97" t="str">
            <v>011-9908-8499</v>
          </cell>
        </row>
        <row r="98">
          <cell r="C98" t="str">
            <v>의정부지점</v>
          </cell>
          <cell r="D98" t="str">
            <v>이정복</v>
          </cell>
          <cell r="E98" t="str">
            <v>80209-455</v>
          </cell>
          <cell r="F98" t="str">
            <v>031-875-8151</v>
          </cell>
          <cell r="G98" t="str">
            <v>010-4181-1130</v>
          </cell>
        </row>
        <row r="99">
          <cell r="C99" t="str">
            <v>이문동지점</v>
          </cell>
          <cell r="D99" t="str">
            <v>박병석</v>
          </cell>
          <cell r="E99" t="str">
            <v>80526-455</v>
          </cell>
          <cell r="F99" t="str">
            <v>02-966-5761</v>
          </cell>
          <cell r="G99" t="str">
            <v>011-9144-6495</v>
          </cell>
        </row>
        <row r="100">
          <cell r="C100" t="str">
            <v>익산지점</v>
          </cell>
          <cell r="D100" t="str">
            <v>조준배</v>
          </cell>
          <cell r="E100" t="str">
            <v>80121-387</v>
          </cell>
          <cell r="F100" t="str">
            <v>063-853-2801</v>
          </cell>
          <cell r="G100" t="str">
            <v>010-4231-5333</v>
          </cell>
        </row>
        <row r="101">
          <cell r="C101" t="str">
            <v>인천지점</v>
          </cell>
          <cell r="D101" t="str">
            <v>김재환</v>
          </cell>
          <cell r="E101" t="str">
            <v>80021-456</v>
          </cell>
          <cell r="F101" t="str">
            <v>032-764-9841</v>
          </cell>
          <cell r="G101" t="str">
            <v>010-5303-4881</v>
          </cell>
        </row>
        <row r="102">
          <cell r="C102" t="str">
            <v>일산지점</v>
          </cell>
          <cell r="D102" t="str">
            <v>김재규</v>
          </cell>
          <cell r="E102" t="str">
            <v>80337-455</v>
          </cell>
          <cell r="F102" t="str">
            <v>031-903-7103</v>
          </cell>
          <cell r="G102" t="str">
            <v>010-9998-9818</v>
          </cell>
        </row>
        <row r="103">
          <cell r="C103" t="str">
            <v>일산중앙지점</v>
          </cell>
          <cell r="D103" t="str">
            <v>이상직</v>
          </cell>
          <cell r="E103" t="str">
            <v>80326-455</v>
          </cell>
          <cell r="F103" t="str">
            <v>031-919-0501</v>
          </cell>
          <cell r="G103" t="str">
            <v>010-3016-8599</v>
          </cell>
        </row>
        <row r="104">
          <cell r="C104" t="str">
            <v>장위동합숙소(체육관)1</v>
          </cell>
          <cell r="D104" t="str">
            <v>장현덕</v>
          </cell>
          <cell r="E104" t="str">
            <v>없음</v>
          </cell>
          <cell r="F104" t="str">
            <v>02-915-7835</v>
          </cell>
          <cell r="G104" t="str">
            <v>011-9971-4048</v>
          </cell>
        </row>
        <row r="105">
          <cell r="C105" t="str">
            <v>장위동합숙소(체육관)2</v>
          </cell>
          <cell r="D105" t="str">
            <v>이랑근</v>
          </cell>
          <cell r="E105" t="str">
            <v>없음</v>
          </cell>
          <cell r="F105" t="str">
            <v>02-915-7835</v>
          </cell>
          <cell r="G105" t="str">
            <v>016-9904-4865</v>
          </cell>
        </row>
        <row r="106">
          <cell r="C106" t="str">
            <v>장위합숙소(체)</v>
          </cell>
          <cell r="D106" t="str">
            <v>이재복(은)</v>
          </cell>
          <cell r="E106" t="str">
            <v>없음</v>
          </cell>
          <cell r="F106" t="str">
            <v>02-915-0094</v>
          </cell>
          <cell r="G106" t="str">
            <v>011-781-3124</v>
          </cell>
        </row>
        <row r="107">
          <cell r="C107" t="str">
            <v>재동지점</v>
          </cell>
          <cell r="D107" t="str">
            <v>김용남</v>
          </cell>
          <cell r="E107" t="str">
            <v>80513-455</v>
          </cell>
          <cell r="F107" t="str">
            <v>02-732-1136</v>
          </cell>
          <cell r="G107" t="str">
            <v>010-7350-5415</v>
          </cell>
        </row>
        <row r="108">
          <cell r="C108" t="str">
            <v>전농동지점</v>
          </cell>
          <cell r="D108" t="str">
            <v>강석린</v>
          </cell>
          <cell r="E108" t="str">
            <v>80522-455</v>
          </cell>
          <cell r="F108" t="str">
            <v>02-2212-0321</v>
          </cell>
          <cell r="G108" t="str">
            <v>010-3370-8400</v>
          </cell>
        </row>
        <row r="109">
          <cell r="C109" t="str">
            <v>제주지점</v>
          </cell>
          <cell r="D109" t="str">
            <v>김석구</v>
          </cell>
          <cell r="E109" t="str">
            <v>80046-455</v>
          </cell>
          <cell r="F109" t="str">
            <v>064-722-3151</v>
          </cell>
          <cell r="G109" t="str">
            <v>010-2076-9771</v>
          </cell>
        </row>
        <row r="110">
          <cell r="C110" t="str">
            <v>전주지점</v>
          </cell>
          <cell r="D110" t="str">
            <v>서재창</v>
          </cell>
          <cell r="E110" t="str">
            <v>80029-455</v>
          </cell>
          <cell r="F110" t="str">
            <v>063-288-0151</v>
          </cell>
          <cell r="G110" t="str">
            <v>011-670-4498</v>
          </cell>
        </row>
        <row r="111">
          <cell r="C111" t="str">
            <v>전주지점</v>
          </cell>
          <cell r="D111" t="str">
            <v>김석구</v>
          </cell>
          <cell r="E111" t="str">
            <v>80046-455</v>
          </cell>
          <cell r="F111" t="str">
            <v>064-722-3151</v>
          </cell>
          <cell r="G111" t="str">
            <v>010-2076-9771</v>
          </cell>
        </row>
        <row r="112">
          <cell r="C112" t="str">
            <v>종로지점</v>
          </cell>
          <cell r="D112" t="str">
            <v>이충석</v>
          </cell>
          <cell r="E112" t="str">
            <v>80061-432</v>
          </cell>
          <cell r="F112" t="str">
            <v>02-734-4491</v>
          </cell>
          <cell r="G112" t="str">
            <v>010-4718-3718</v>
          </cell>
        </row>
        <row r="113">
          <cell r="C113" t="str">
            <v>종로4가지점</v>
          </cell>
          <cell r="D113" t="str">
            <v>최성호</v>
          </cell>
          <cell r="E113" t="str">
            <v>80814-455</v>
          </cell>
          <cell r="F113" t="str">
            <v>02-2268-7811</v>
          </cell>
          <cell r="G113" t="str">
            <v>011-9727-3117</v>
          </cell>
        </row>
        <row r="114">
          <cell r="C114" t="str">
            <v>종로5가지점</v>
          </cell>
          <cell r="D114" t="str">
            <v>신약수</v>
          </cell>
          <cell r="E114" t="str">
            <v>80012-455</v>
          </cell>
          <cell r="F114" t="str">
            <v>02-2267-2191</v>
          </cell>
          <cell r="G114" t="str">
            <v>010-4027-2711</v>
          </cell>
        </row>
        <row r="115">
          <cell r="C115" t="str">
            <v>종암지점</v>
          </cell>
          <cell r="D115" t="str">
            <v>이언배</v>
          </cell>
          <cell r="E115" t="str">
            <v>80048-455</v>
          </cell>
          <cell r="F115" t="str">
            <v>02-913-0341</v>
          </cell>
          <cell r="G115" t="str">
            <v>011-388-2897</v>
          </cell>
        </row>
        <row r="116">
          <cell r="C116" t="str">
            <v>주안서지점</v>
          </cell>
          <cell r="D116" t="str">
            <v>원풍식</v>
          </cell>
          <cell r="E116" t="str">
            <v>80664-455</v>
          </cell>
          <cell r="F116" t="str">
            <v>032-868-9300</v>
          </cell>
          <cell r="G116" t="str">
            <v>010-6330-5428</v>
          </cell>
        </row>
        <row r="117">
          <cell r="C117" t="str">
            <v>중동지점</v>
          </cell>
          <cell r="D117" t="str">
            <v>오종복</v>
          </cell>
          <cell r="E117" t="str">
            <v>80706-455</v>
          </cell>
          <cell r="F117" t="str">
            <v>053-763-4981</v>
          </cell>
          <cell r="G117" t="str">
            <v>017-527-6288</v>
          </cell>
        </row>
        <row r="118">
          <cell r="C118" t="str">
            <v>중랑교지점</v>
          </cell>
          <cell r="D118" t="str">
            <v>김정식</v>
          </cell>
          <cell r="E118" t="str">
            <v>80479-455</v>
          </cell>
          <cell r="F118" t="str">
            <v>02-432-7661</v>
          </cell>
          <cell r="G118" t="str">
            <v>010-6385-3200</v>
          </cell>
        </row>
        <row r="119">
          <cell r="C119" t="str">
            <v>중림동지점</v>
          </cell>
          <cell r="D119" t="str">
            <v>황우연</v>
          </cell>
          <cell r="E119" t="str">
            <v>80534-455</v>
          </cell>
          <cell r="F119" t="str">
            <v>02-392-0251</v>
          </cell>
          <cell r="G119" t="str">
            <v>011-384-6509</v>
          </cell>
        </row>
        <row r="120">
          <cell r="C120" t="str">
            <v>중부지점</v>
          </cell>
          <cell r="D120" t="str">
            <v>호경구</v>
          </cell>
          <cell r="E120" t="str">
            <v>80005-455</v>
          </cell>
          <cell r="F120" t="str">
            <v>02-2266-5171</v>
          </cell>
          <cell r="G120" t="str">
            <v>011-9109-1619</v>
          </cell>
        </row>
        <row r="121">
          <cell r="C121" t="str">
            <v>중화동지점</v>
          </cell>
          <cell r="D121" t="str">
            <v>이영태</v>
          </cell>
          <cell r="E121" t="str">
            <v>80071-455</v>
          </cell>
          <cell r="F121" t="str">
            <v>02-493-9801</v>
          </cell>
          <cell r="G121" t="str">
            <v>011-9040-7611</v>
          </cell>
        </row>
        <row r="122">
          <cell r="C122" t="str">
            <v>진주지점</v>
          </cell>
          <cell r="D122" t="str">
            <v>김진성</v>
          </cell>
          <cell r="E122" t="str">
            <v>80149-455</v>
          </cell>
          <cell r="F122" t="str">
            <v>055-741-2051</v>
          </cell>
          <cell r="G122" t="str">
            <v>010-8500-4824</v>
          </cell>
        </row>
        <row r="123">
          <cell r="C123" t="str">
            <v>창신동지점</v>
          </cell>
          <cell r="D123" t="str">
            <v>정우근</v>
          </cell>
          <cell r="E123" t="str">
            <v>80013-455</v>
          </cell>
          <cell r="F123" t="str">
            <v>02-763-5111</v>
          </cell>
          <cell r="G123" t="str">
            <v>019-356-4929</v>
          </cell>
        </row>
        <row r="124">
          <cell r="C124" t="str">
            <v>창원지점</v>
          </cell>
          <cell r="D124" t="str">
            <v>박종필</v>
          </cell>
          <cell r="E124" t="str">
            <v>80100-455</v>
          </cell>
          <cell r="F124" t="str">
            <v>055-267-4100</v>
          </cell>
          <cell r="G124" t="str">
            <v>011-556-2706</v>
          </cell>
        </row>
        <row r="125">
          <cell r="C125" t="str">
            <v>천안지점</v>
          </cell>
          <cell r="D125" t="str">
            <v>전권표</v>
          </cell>
          <cell r="E125" t="str">
            <v>80164-462</v>
          </cell>
          <cell r="F125" t="str">
            <v>041-562-9121</v>
          </cell>
          <cell r="G125" t="str">
            <v>010-4400-2490</v>
          </cell>
        </row>
        <row r="126">
          <cell r="C126" t="str">
            <v>청구역지점</v>
          </cell>
          <cell r="D126" t="str">
            <v>이명호</v>
          </cell>
          <cell r="E126" t="str">
            <v>80017-455</v>
          </cell>
          <cell r="F126" t="str">
            <v>02-2234-2141</v>
          </cell>
          <cell r="G126" t="str">
            <v>011-9974-5790</v>
          </cell>
        </row>
        <row r="127">
          <cell r="C127" t="str">
            <v>청량리중앙지점</v>
          </cell>
          <cell r="D127" t="str">
            <v>김복열</v>
          </cell>
          <cell r="E127" t="str">
            <v>80014-455</v>
          </cell>
          <cell r="F127" t="str">
            <v>02-967-8861</v>
          </cell>
          <cell r="G127" t="str">
            <v>011-9952-7892</v>
          </cell>
        </row>
        <row r="128">
          <cell r="C128" t="str">
            <v>청주지점</v>
          </cell>
          <cell r="D128" t="str">
            <v>민찬기</v>
          </cell>
          <cell r="E128" t="str">
            <v>80023-455</v>
          </cell>
          <cell r="F128" t="str">
            <v>043-253-6281</v>
          </cell>
          <cell r="G128" t="str">
            <v>010-6434-6390</v>
          </cell>
        </row>
        <row r="129">
          <cell r="C129" t="str">
            <v>초량지점</v>
          </cell>
          <cell r="D129" t="str">
            <v>이섭영</v>
          </cell>
          <cell r="E129" t="str">
            <v>80204-455</v>
          </cell>
          <cell r="F129" t="str">
            <v>051-468-7051</v>
          </cell>
          <cell r="G129" t="str">
            <v>017-852-7685</v>
          </cell>
        </row>
        <row r="130">
          <cell r="C130" t="str">
            <v>춘천지점</v>
          </cell>
          <cell r="D130" t="str">
            <v>김영성</v>
          </cell>
          <cell r="E130" t="str">
            <v>80027-455</v>
          </cell>
          <cell r="F130" t="str">
            <v>033-256-6061</v>
          </cell>
          <cell r="G130" t="str">
            <v>011-378-4225</v>
          </cell>
        </row>
        <row r="131">
          <cell r="C131" t="str">
            <v>춘천지점</v>
          </cell>
          <cell r="D131" t="str">
            <v>남진원</v>
          </cell>
          <cell r="E131" t="str">
            <v>80027-453</v>
          </cell>
          <cell r="F131" t="str">
            <v>033-256-6061</v>
          </cell>
          <cell r="G131" t="str">
            <v>011-9953-0802</v>
          </cell>
        </row>
        <row r="132">
          <cell r="C132" t="str">
            <v>충주지점</v>
          </cell>
          <cell r="D132" t="str">
            <v>이우형</v>
          </cell>
          <cell r="E132" t="str">
            <v>80024-455</v>
          </cell>
          <cell r="F132" t="str">
            <v>043-847-2051</v>
          </cell>
          <cell r="G132" t="str">
            <v>016-412-6855</v>
          </cell>
        </row>
        <row r="133">
          <cell r="C133" t="str">
            <v>충주합숙소</v>
          </cell>
          <cell r="D133" t="str">
            <v>채희창</v>
          </cell>
          <cell r="E133" t="str">
            <v>없음</v>
          </cell>
          <cell r="F133" t="str">
            <v>043-847-6671</v>
          </cell>
          <cell r="G133" t="str">
            <v>011-467-1822</v>
          </cell>
        </row>
        <row r="134">
          <cell r="C134" t="str">
            <v>통영지점</v>
          </cell>
          <cell r="D134" t="str">
            <v>배영일</v>
          </cell>
          <cell r="E134" t="str">
            <v>80045-455</v>
          </cell>
          <cell r="F134" t="str">
            <v>055-645-2041</v>
          </cell>
          <cell r="G134" t="str">
            <v>018-765-8600</v>
          </cell>
        </row>
        <row r="135">
          <cell r="C135" t="str">
            <v>평리동지점</v>
          </cell>
          <cell r="D135" t="str">
            <v>이성우</v>
          </cell>
          <cell r="E135" t="str">
            <v>80705-455</v>
          </cell>
          <cell r="F135" t="str">
            <v>053-563-4381</v>
          </cell>
          <cell r="G135" t="str">
            <v>017-507-0320</v>
          </cell>
        </row>
        <row r="136">
          <cell r="C136" t="str">
            <v>평택지점</v>
          </cell>
          <cell r="D136" t="str">
            <v>김동렬</v>
          </cell>
          <cell r="E136" t="str">
            <v>80080-451</v>
          </cell>
          <cell r="F136" t="str">
            <v>031-655-2111</v>
          </cell>
          <cell r="G136" t="str">
            <v>011-9714-3141</v>
          </cell>
        </row>
        <row r="137">
          <cell r="C137" t="str">
            <v>포항지점</v>
          </cell>
          <cell r="D137" t="str">
            <v>김정덕</v>
          </cell>
          <cell r="E137" t="str">
            <v>80036-455</v>
          </cell>
          <cell r="F137" t="str">
            <v>054-247-2311</v>
          </cell>
          <cell r="G137" t="str">
            <v>010-2527-3219</v>
          </cell>
        </row>
        <row r="138">
          <cell r="C138" t="str">
            <v>포항중앙지점</v>
          </cell>
          <cell r="D138" t="str">
            <v>안홍섭</v>
          </cell>
          <cell r="E138" t="str">
            <v>80852-455</v>
          </cell>
          <cell r="F138" t="str">
            <v>054-273-3401</v>
          </cell>
          <cell r="G138" t="str">
            <v>011-810-0440</v>
          </cell>
        </row>
        <row r="139">
          <cell r="C139" t="str">
            <v>포항합숙소</v>
          </cell>
          <cell r="D139" t="str">
            <v>정수용</v>
          </cell>
          <cell r="E139" t="str">
            <v>없음</v>
          </cell>
          <cell r="F139" t="str">
            <v>054-242-2895</v>
          </cell>
          <cell r="G139" t="str">
            <v>010-9289-3503</v>
          </cell>
        </row>
        <row r="140">
          <cell r="C140" t="str">
            <v>하남공단지점</v>
          </cell>
          <cell r="D140" t="str">
            <v>김대웅</v>
          </cell>
          <cell r="E140" t="str">
            <v>80329-455</v>
          </cell>
          <cell r="F140" t="str">
            <v>062-953-6671</v>
          </cell>
          <cell r="G140" t="str">
            <v>010-2981-8328</v>
          </cell>
        </row>
        <row r="141">
          <cell r="C141" t="str">
            <v>하안동지점</v>
          </cell>
          <cell r="D141" t="str">
            <v>오순홍</v>
          </cell>
          <cell r="E141" t="str">
            <v>80202-455</v>
          </cell>
          <cell r="F141" t="str">
            <v>02-894-1812</v>
          </cell>
          <cell r="G141" t="str">
            <v>019-257-0487</v>
          </cell>
        </row>
        <row r="142">
          <cell r="C142" t="str">
            <v>혜화동지점</v>
          </cell>
          <cell r="D142" t="str">
            <v>안병선</v>
          </cell>
          <cell r="E142" t="str">
            <v>80512-455</v>
          </cell>
          <cell r="F142" t="str">
            <v>02-766-5321</v>
          </cell>
          <cell r="G142" t="str">
            <v>016-276-6870</v>
          </cell>
        </row>
        <row r="143">
          <cell r="C143" t="str">
            <v>화양동지점</v>
          </cell>
          <cell r="D143" t="str">
            <v>한종수</v>
          </cell>
          <cell r="E143" t="str">
            <v>80532-455</v>
          </cell>
          <cell r="F143" t="str">
            <v>02-461-1901</v>
          </cell>
          <cell r="G143" t="str">
            <v>010-3298-1038</v>
          </cell>
        </row>
        <row r="144">
          <cell r="C144" t="str">
            <v>효자동지점</v>
          </cell>
          <cell r="D144" t="str">
            <v>이희용</v>
          </cell>
          <cell r="E144" t="str">
            <v>80109-457</v>
          </cell>
          <cell r="F144" t="str">
            <v>02-735-6814</v>
          </cell>
          <cell r="G144" t="str">
            <v>016-9828-2775</v>
          </cell>
        </row>
        <row r="145">
          <cell r="C145" t="str">
            <v>후암동지점</v>
          </cell>
          <cell r="D145" t="str">
            <v>홍성철</v>
          </cell>
          <cell r="E145" t="str">
            <v>80078-455</v>
          </cell>
          <cell r="F145" t="str">
            <v>02-754-8942</v>
          </cell>
          <cell r="G145" t="str">
            <v>011-204-5646</v>
          </cell>
        </row>
        <row r="147">
          <cell r="C147" t="str">
            <v>구월동지점</v>
          </cell>
          <cell r="D147" t="str">
            <v>손봉길</v>
          </cell>
          <cell r="E147" t="str">
            <v>없음</v>
          </cell>
          <cell r="F147" t="str">
            <v>032-434-7451</v>
          </cell>
          <cell r="G147" t="str">
            <v>010-2023-7451</v>
          </cell>
          <cell r="H147" t="str">
            <v>032-812-7451</v>
          </cell>
        </row>
        <row r="148">
          <cell r="C148" t="str">
            <v>서현역지점</v>
          </cell>
          <cell r="D148" t="str">
            <v>조동식</v>
          </cell>
          <cell r="E148" t="str">
            <v>80339-418</v>
          </cell>
          <cell r="F148" t="str">
            <v>031-704-1541</v>
          </cell>
          <cell r="G148" t="str">
            <v>018-204-7866</v>
          </cell>
          <cell r="H148" t="str">
            <v>02-882-4105</v>
          </cell>
        </row>
        <row r="149">
          <cell r="C149" t="str">
            <v>영등포중앙지점</v>
          </cell>
          <cell r="D149" t="str">
            <v>오병두</v>
          </cell>
          <cell r="E149" t="str">
            <v>80517-465</v>
          </cell>
          <cell r="F149" t="str">
            <v>02-2678-7921</v>
          </cell>
          <cell r="G149" t="str">
            <v>017-208-2641</v>
          </cell>
          <cell r="H149" t="str">
            <v>02-2651-2641</v>
          </cell>
        </row>
        <row r="150">
          <cell r="C150" t="str">
            <v>일산중앙지점</v>
          </cell>
          <cell r="D150" t="str">
            <v>주영준</v>
          </cell>
          <cell r="E150" t="str">
            <v>없음</v>
          </cell>
          <cell r="F150" t="str">
            <v>없음</v>
          </cell>
          <cell r="G150" t="str">
            <v xml:space="preserve"> 010-3045-4342</v>
          </cell>
          <cell r="H150" t="str">
            <v>031-905-5830</v>
          </cell>
        </row>
        <row r="151">
          <cell r="C151" t="str">
            <v>종로지점</v>
          </cell>
          <cell r="D151" t="str">
            <v>이형우</v>
          </cell>
          <cell r="E151" t="str">
            <v>80061-433</v>
          </cell>
          <cell r="F151" t="str">
            <v>02-734-4491</v>
          </cell>
          <cell r="G151" t="str">
            <v>011-9784-2478</v>
          </cell>
          <cell r="H151" t="str">
            <v>031-919-2471</v>
          </cell>
        </row>
        <row r="152">
          <cell r="C152" t="str">
            <v>종로4가지점</v>
          </cell>
          <cell r="D152" t="str">
            <v>이상인</v>
          </cell>
          <cell r="E152" t="str">
            <v>80814-459</v>
          </cell>
          <cell r="F152" t="str">
            <v>02-2268-7811</v>
          </cell>
          <cell r="G152" t="str">
            <v>011-9941-5760</v>
          </cell>
          <cell r="H152" t="str">
            <v>02-711-5766</v>
          </cell>
        </row>
        <row r="153">
          <cell r="C153" t="str">
            <v>평택지점</v>
          </cell>
          <cell r="D153" t="str">
            <v>최금회</v>
          </cell>
          <cell r="E153" t="str">
            <v>없음</v>
          </cell>
          <cell r="F153" t="str">
            <v>031-655-2111</v>
          </cell>
          <cell r="G153" t="str">
            <v>017-753-1988</v>
          </cell>
          <cell r="H153" t="str">
            <v>없음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내역"/>
      <sheetName val="근로영수증"/>
      <sheetName val="퇴직영수증"/>
      <sheetName val="최은희퇴직"/>
      <sheetName val="김호정퇴직"/>
      <sheetName val="이현숙근로"/>
      <sheetName val="comme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정보기입"/>
      <sheetName val="전체현황"/>
      <sheetName val="연차계산기"/>
      <sheetName val="backdata1"/>
    </sheetNames>
    <sheetDataSet>
      <sheetData sheetId="0"/>
      <sheetData sheetId="1"/>
      <sheetData sheetId="2"/>
      <sheetData sheetId="3">
        <row r="2">
          <cell r="A2">
            <v>44562</v>
          </cell>
        </row>
        <row r="3">
          <cell r="A3">
            <v>44592</v>
          </cell>
        </row>
        <row r="4">
          <cell r="A4">
            <v>44593</v>
          </cell>
        </row>
        <row r="5">
          <cell r="A5">
            <v>44594</v>
          </cell>
        </row>
        <row r="6">
          <cell r="A6">
            <v>44621</v>
          </cell>
        </row>
        <row r="7">
          <cell r="A7">
            <v>44686</v>
          </cell>
        </row>
        <row r="8">
          <cell r="A8">
            <v>44788</v>
          </cell>
        </row>
        <row r="9">
          <cell r="A9">
            <v>44843</v>
          </cell>
        </row>
        <row r="10">
          <cell r="A10">
            <v>44629</v>
          </cell>
        </row>
        <row r="11">
          <cell r="A11">
            <v>44689</v>
          </cell>
        </row>
        <row r="12">
          <cell r="A12">
            <v>44713</v>
          </cell>
        </row>
        <row r="13">
          <cell r="A13">
            <v>44718</v>
          </cell>
        </row>
        <row r="14">
          <cell r="A14">
            <v>44813</v>
          </cell>
        </row>
        <row r="15">
          <cell r="A15">
            <v>44814</v>
          </cell>
        </row>
        <row r="16">
          <cell r="A16">
            <v>44815</v>
          </cell>
        </row>
        <row r="17">
          <cell r="A17">
            <v>44816</v>
          </cell>
        </row>
        <row r="18">
          <cell r="A18">
            <v>44837</v>
          </cell>
        </row>
        <row r="19">
          <cell r="A19">
            <v>44843</v>
          </cell>
        </row>
        <row r="20">
          <cell r="A20">
            <v>44844</v>
          </cell>
        </row>
        <row r="21">
          <cell r="A21">
            <v>44920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237D-6225-46A5-9690-7ED4513DB2F8}">
  <dimension ref="A1:OH10"/>
  <sheetViews>
    <sheetView tabSelected="1" workbookViewId="0">
      <pane xSplit="3" ySplit="5" topLeftCell="DF6" activePane="bottomRight" state="frozen"/>
      <selection pane="topRight" activeCell="D1" sqref="D1"/>
      <selection pane="bottomLeft" activeCell="A6" sqref="A6"/>
      <selection pane="bottomRight" activeCell="FP30" sqref="FP30"/>
    </sheetView>
  </sheetViews>
  <sheetFormatPr defaultRowHeight="16.5" x14ac:dyDescent="0.3"/>
  <cols>
    <col min="1" max="1" width="5" style="28" customWidth="1"/>
    <col min="2" max="3" width="9.375" style="3" customWidth="1"/>
    <col min="4" max="4" width="9.375" style="8" customWidth="1"/>
    <col min="5" max="5" width="9.75" style="9" bestFit="1" customWidth="1"/>
    <col min="6" max="16" width="7.125" style="3" customWidth="1"/>
    <col min="17" max="17" width="7.25" style="3" customWidth="1"/>
    <col min="18" max="18" width="7.125" style="3" customWidth="1"/>
    <col min="19" max="32" width="5" style="3" customWidth="1"/>
    <col min="33" max="33" width="6.75" style="4" bestFit="1" customWidth="1"/>
    <col min="34" max="398" width="2.875" style="28" customWidth="1"/>
    <col min="399" max="16384" width="9" style="28"/>
  </cols>
  <sheetData>
    <row r="1" spans="1:398" s="3" customFormat="1" ht="16.5" customHeight="1" x14ac:dyDescent="0.3">
      <c r="A1" s="1" t="s">
        <v>0</v>
      </c>
      <c r="B1" s="1"/>
      <c r="C1" s="1"/>
      <c r="D1" s="2">
        <f ca="1" xml:space="preserve"> TODAY()</f>
        <v>46097</v>
      </c>
      <c r="AD1" s="4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</row>
    <row r="2" spans="1:398" s="3" customFormat="1" ht="16.5" customHeight="1" x14ac:dyDescent="0.3">
      <c r="A2" s="5"/>
      <c r="B2" s="5"/>
      <c r="C2" s="5"/>
      <c r="D2" s="6"/>
      <c r="E2" s="7"/>
      <c r="AF2" s="4"/>
    </row>
    <row r="3" spans="1:398" s="3" customFormat="1" ht="16.5" customHeight="1" x14ac:dyDescent="0.3">
      <c r="D3" s="8"/>
      <c r="E3" s="9"/>
      <c r="AG3" s="4"/>
      <c r="AH3" s="57">
        <f>MONTH((AH4))</f>
        <v>1</v>
      </c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8"/>
      <c r="BM3" s="57">
        <f t="shared" ref="BM3:CO3" si="0">MONTH((BM4))</f>
        <v>2</v>
      </c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6"/>
      <c r="CO3" s="57">
        <f t="shared" si="0"/>
        <v>3</v>
      </c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6"/>
      <c r="DT3" s="54">
        <f t="shared" ref="DT3" si="1">MONTH((DT4))</f>
        <v>4</v>
      </c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8"/>
      <c r="EX3" s="57">
        <f t="shared" ref="EX3" si="2">MONTH((EX4))</f>
        <v>5</v>
      </c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6"/>
      <c r="GC3" s="54">
        <f t="shared" ref="GC3" si="3">MONTH((GC4))</f>
        <v>6</v>
      </c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8"/>
      <c r="HG3" s="57">
        <f t="shared" ref="HG3" si="4">MONTH((HG4))</f>
        <v>7</v>
      </c>
      <c r="HH3" s="55"/>
      <c r="HI3" s="55"/>
      <c r="HJ3" s="55"/>
      <c r="HK3" s="55"/>
      <c r="HL3" s="55"/>
      <c r="HM3" s="55"/>
      <c r="HN3" s="55"/>
      <c r="HO3" s="55"/>
      <c r="HP3" s="55"/>
      <c r="HQ3" s="55"/>
      <c r="HR3" s="55"/>
      <c r="HS3" s="55"/>
      <c r="HT3" s="55"/>
      <c r="HU3" s="55"/>
      <c r="HV3" s="55"/>
      <c r="HW3" s="55"/>
      <c r="HX3" s="55"/>
      <c r="HY3" s="55"/>
      <c r="HZ3" s="55"/>
      <c r="IA3" s="55"/>
      <c r="IB3" s="55"/>
      <c r="IC3" s="55"/>
      <c r="ID3" s="55"/>
      <c r="IE3" s="55"/>
      <c r="IF3" s="55"/>
      <c r="IG3" s="55"/>
      <c r="IH3" s="55"/>
      <c r="II3" s="55"/>
      <c r="IJ3" s="55"/>
      <c r="IK3" s="56"/>
      <c r="IL3" s="54">
        <f t="shared" ref="IL3" si="5">MONTH((IL4))</f>
        <v>8</v>
      </c>
      <c r="IM3" s="55"/>
      <c r="IN3" s="55"/>
      <c r="IO3" s="55"/>
      <c r="IP3" s="55"/>
      <c r="IQ3" s="55"/>
      <c r="IR3" s="55"/>
      <c r="IS3" s="55"/>
      <c r="IT3" s="55"/>
      <c r="IU3" s="55"/>
      <c r="IV3" s="55"/>
      <c r="IW3" s="55"/>
      <c r="IX3" s="55"/>
      <c r="IY3" s="55"/>
      <c r="IZ3" s="55"/>
      <c r="JA3" s="55"/>
      <c r="JB3" s="55"/>
      <c r="JC3" s="55"/>
      <c r="JD3" s="55"/>
      <c r="JE3" s="55"/>
      <c r="JF3" s="55"/>
      <c r="JG3" s="55"/>
      <c r="JH3" s="55"/>
      <c r="JI3" s="55"/>
      <c r="JJ3" s="55"/>
      <c r="JK3" s="55"/>
      <c r="JL3" s="55"/>
      <c r="JM3" s="55"/>
      <c r="JN3" s="55"/>
      <c r="JO3" s="55"/>
      <c r="JP3" s="58"/>
      <c r="JQ3" s="57">
        <f t="shared" ref="JQ3" si="6">MONTH((JQ4))</f>
        <v>9</v>
      </c>
      <c r="JR3" s="55"/>
      <c r="JS3" s="55"/>
      <c r="JT3" s="55"/>
      <c r="JU3" s="55"/>
      <c r="JV3" s="55"/>
      <c r="JW3" s="55"/>
      <c r="JX3" s="55"/>
      <c r="JY3" s="55"/>
      <c r="JZ3" s="55"/>
      <c r="KA3" s="55"/>
      <c r="KB3" s="55"/>
      <c r="KC3" s="55"/>
      <c r="KD3" s="55"/>
      <c r="KE3" s="55"/>
      <c r="KF3" s="55"/>
      <c r="KG3" s="55"/>
      <c r="KH3" s="55"/>
      <c r="KI3" s="55"/>
      <c r="KJ3" s="55"/>
      <c r="KK3" s="55"/>
      <c r="KL3" s="55"/>
      <c r="KM3" s="55"/>
      <c r="KN3" s="55"/>
      <c r="KO3" s="55"/>
      <c r="KP3" s="55"/>
      <c r="KQ3" s="55"/>
      <c r="KR3" s="55"/>
      <c r="KS3" s="55"/>
      <c r="KT3" s="56"/>
      <c r="KU3" s="54">
        <f t="shared" ref="KU3" si="7">MONTH((KU4))</f>
        <v>10</v>
      </c>
      <c r="KV3" s="55"/>
      <c r="KW3" s="55"/>
      <c r="KX3" s="55"/>
      <c r="KY3" s="55"/>
      <c r="KZ3" s="55"/>
      <c r="LA3" s="55"/>
      <c r="LB3" s="55"/>
      <c r="LC3" s="55"/>
      <c r="LD3" s="55"/>
      <c r="LE3" s="55"/>
      <c r="LF3" s="55"/>
      <c r="LG3" s="55"/>
      <c r="LH3" s="55"/>
      <c r="LI3" s="55"/>
      <c r="LJ3" s="55"/>
      <c r="LK3" s="55"/>
      <c r="LL3" s="55"/>
      <c r="LM3" s="55"/>
      <c r="LN3" s="55"/>
      <c r="LO3" s="55"/>
      <c r="LP3" s="55"/>
      <c r="LQ3" s="55"/>
      <c r="LR3" s="55"/>
      <c r="LS3" s="55"/>
      <c r="LT3" s="55"/>
      <c r="LU3" s="55"/>
      <c r="LV3" s="55"/>
      <c r="LW3" s="55"/>
      <c r="LX3" s="55"/>
      <c r="LY3" s="58"/>
      <c r="LZ3" s="57">
        <f t="shared" ref="LZ3" si="8">MONTH((LZ4))</f>
        <v>11</v>
      </c>
      <c r="MA3" s="55"/>
      <c r="MB3" s="55"/>
      <c r="MC3" s="55"/>
      <c r="MD3" s="55"/>
      <c r="ME3" s="55"/>
      <c r="MF3" s="55"/>
      <c r="MG3" s="55"/>
      <c r="MH3" s="55"/>
      <c r="MI3" s="55"/>
      <c r="MJ3" s="55"/>
      <c r="MK3" s="55"/>
      <c r="ML3" s="55"/>
      <c r="MM3" s="55"/>
      <c r="MN3" s="55"/>
      <c r="MO3" s="55"/>
      <c r="MP3" s="55"/>
      <c r="MQ3" s="55"/>
      <c r="MR3" s="55"/>
      <c r="MS3" s="55"/>
      <c r="MT3" s="55"/>
      <c r="MU3" s="55"/>
      <c r="MV3" s="55"/>
      <c r="MW3" s="55"/>
      <c r="MX3" s="55"/>
      <c r="MY3" s="55"/>
      <c r="MZ3" s="55"/>
      <c r="NA3" s="55"/>
      <c r="NB3" s="55"/>
      <c r="NC3" s="56"/>
      <c r="ND3" s="54">
        <f t="shared" ref="ND3" si="9">MONTH((ND4))</f>
        <v>12</v>
      </c>
      <c r="NE3" s="55"/>
      <c r="NF3" s="55"/>
      <c r="NG3" s="55"/>
      <c r="NH3" s="55"/>
      <c r="NI3" s="55"/>
      <c r="NJ3" s="55"/>
      <c r="NK3" s="55"/>
      <c r="NL3" s="55"/>
      <c r="NM3" s="55"/>
      <c r="NN3" s="55"/>
      <c r="NO3" s="55"/>
      <c r="NP3" s="55"/>
      <c r="NQ3" s="55"/>
      <c r="NR3" s="55"/>
      <c r="NS3" s="55"/>
      <c r="NT3" s="55"/>
      <c r="NU3" s="55"/>
      <c r="NV3" s="55"/>
      <c r="NW3" s="55"/>
      <c r="NX3" s="55"/>
      <c r="NY3" s="55"/>
      <c r="NZ3" s="55"/>
      <c r="OA3" s="55"/>
      <c r="OB3" s="55"/>
      <c r="OC3" s="55"/>
      <c r="OD3" s="55"/>
      <c r="OE3" s="55"/>
      <c r="OF3" s="55"/>
      <c r="OG3" s="55"/>
      <c r="OH3" s="56"/>
    </row>
    <row r="4" spans="1:398" s="3" customFormat="1" ht="16.5" customHeight="1" x14ac:dyDescent="0.2">
      <c r="A4" s="48" t="s">
        <v>1</v>
      </c>
      <c r="B4" s="48" t="s">
        <v>2</v>
      </c>
      <c r="C4" s="48" t="s">
        <v>3</v>
      </c>
      <c r="D4" s="50" t="s">
        <v>4</v>
      </c>
      <c r="E4" s="52" t="s">
        <v>5</v>
      </c>
      <c r="F4" s="45" t="s">
        <v>6</v>
      </c>
      <c r="G4" s="46"/>
      <c r="H4" s="46"/>
      <c r="I4" s="47"/>
      <c r="J4" s="45" t="s">
        <v>7</v>
      </c>
      <c r="K4" s="46"/>
      <c r="L4" s="46"/>
      <c r="M4" s="47"/>
      <c r="N4" s="48" t="s">
        <v>8</v>
      </c>
      <c r="O4" s="45" t="s">
        <v>42</v>
      </c>
      <c r="P4" s="47"/>
      <c r="Q4" s="10" t="s">
        <v>9</v>
      </c>
      <c r="R4" s="11" t="s">
        <v>10</v>
      </c>
      <c r="S4" s="45" t="str">
        <f ca="1">YEAR(TODAY())&amp;"년도 연차 소진 현황"</f>
        <v>2026년도 연차 소진 현황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2">
        <v>45658</v>
      </c>
      <c r="AI4" s="33">
        <v>45659</v>
      </c>
      <c r="AJ4" s="33">
        <v>45660</v>
      </c>
      <c r="AK4" s="33">
        <v>45661</v>
      </c>
      <c r="AL4" s="33">
        <v>45662</v>
      </c>
      <c r="AM4" s="33">
        <v>45663</v>
      </c>
      <c r="AN4" s="33">
        <v>45664</v>
      </c>
      <c r="AO4" s="33">
        <v>45665</v>
      </c>
      <c r="AP4" s="33">
        <v>45666</v>
      </c>
      <c r="AQ4" s="33">
        <v>45667</v>
      </c>
      <c r="AR4" s="33">
        <v>45668</v>
      </c>
      <c r="AS4" s="33">
        <v>45669</v>
      </c>
      <c r="AT4" s="33">
        <v>45670</v>
      </c>
      <c r="AU4" s="33">
        <v>45671</v>
      </c>
      <c r="AV4" s="33">
        <v>45672</v>
      </c>
      <c r="AW4" s="33">
        <v>45673</v>
      </c>
      <c r="AX4" s="33">
        <v>45674</v>
      </c>
      <c r="AY4" s="33">
        <v>45675</v>
      </c>
      <c r="AZ4" s="33">
        <v>45676</v>
      </c>
      <c r="BA4" s="33">
        <v>45677</v>
      </c>
      <c r="BB4" s="33">
        <v>45678</v>
      </c>
      <c r="BC4" s="33">
        <v>45679</v>
      </c>
      <c r="BD4" s="33">
        <v>45680</v>
      </c>
      <c r="BE4" s="33">
        <v>45681</v>
      </c>
      <c r="BF4" s="33">
        <v>45682</v>
      </c>
      <c r="BG4" s="33">
        <v>45683</v>
      </c>
      <c r="BH4" s="33">
        <v>45684</v>
      </c>
      <c r="BI4" s="33">
        <v>45685</v>
      </c>
      <c r="BJ4" s="33">
        <v>45686</v>
      </c>
      <c r="BK4" s="33">
        <v>45687</v>
      </c>
      <c r="BL4" s="34">
        <v>45688</v>
      </c>
      <c r="BM4" s="32">
        <v>45689</v>
      </c>
      <c r="BN4" s="33">
        <v>45690</v>
      </c>
      <c r="BO4" s="33">
        <v>45691</v>
      </c>
      <c r="BP4" s="33">
        <v>45692</v>
      </c>
      <c r="BQ4" s="33">
        <v>45693</v>
      </c>
      <c r="BR4" s="33">
        <v>45694</v>
      </c>
      <c r="BS4" s="33">
        <v>45695</v>
      </c>
      <c r="BT4" s="33">
        <v>45696</v>
      </c>
      <c r="BU4" s="33">
        <v>45697</v>
      </c>
      <c r="BV4" s="33">
        <v>45698</v>
      </c>
      <c r="BW4" s="33">
        <v>45699</v>
      </c>
      <c r="BX4" s="33">
        <v>45700</v>
      </c>
      <c r="BY4" s="33">
        <v>45701</v>
      </c>
      <c r="BZ4" s="33">
        <v>45702</v>
      </c>
      <c r="CA4" s="33">
        <v>45703</v>
      </c>
      <c r="CB4" s="33">
        <v>45704</v>
      </c>
      <c r="CC4" s="33">
        <v>45705</v>
      </c>
      <c r="CD4" s="33">
        <v>45706</v>
      </c>
      <c r="CE4" s="33">
        <v>45707</v>
      </c>
      <c r="CF4" s="33">
        <v>45708</v>
      </c>
      <c r="CG4" s="33">
        <v>45709</v>
      </c>
      <c r="CH4" s="33">
        <v>45710</v>
      </c>
      <c r="CI4" s="33">
        <v>45711</v>
      </c>
      <c r="CJ4" s="33">
        <v>45712</v>
      </c>
      <c r="CK4" s="33">
        <v>45713</v>
      </c>
      <c r="CL4" s="33">
        <v>45714</v>
      </c>
      <c r="CM4" s="33">
        <v>45715</v>
      </c>
      <c r="CN4" s="34">
        <v>45716</v>
      </c>
      <c r="CO4" s="32">
        <v>45717</v>
      </c>
      <c r="CP4" s="33">
        <v>45718</v>
      </c>
      <c r="CQ4" s="33">
        <v>45719</v>
      </c>
      <c r="CR4" s="33">
        <v>45720</v>
      </c>
      <c r="CS4" s="33">
        <v>45721</v>
      </c>
      <c r="CT4" s="33">
        <v>45722</v>
      </c>
      <c r="CU4" s="33">
        <v>45723</v>
      </c>
      <c r="CV4" s="33">
        <v>45724</v>
      </c>
      <c r="CW4" s="33">
        <v>45725</v>
      </c>
      <c r="CX4" s="33">
        <v>45726</v>
      </c>
      <c r="CY4" s="33">
        <v>45727</v>
      </c>
      <c r="CZ4" s="33">
        <v>45728</v>
      </c>
      <c r="DA4" s="33">
        <v>45729</v>
      </c>
      <c r="DB4" s="33">
        <v>45730</v>
      </c>
      <c r="DC4" s="33">
        <v>45731</v>
      </c>
      <c r="DD4" s="33">
        <v>45732</v>
      </c>
      <c r="DE4" s="33">
        <v>45733</v>
      </c>
      <c r="DF4" s="33">
        <v>45734</v>
      </c>
      <c r="DG4" s="33">
        <v>45735</v>
      </c>
      <c r="DH4" s="33">
        <v>45736</v>
      </c>
      <c r="DI4" s="33">
        <v>45737</v>
      </c>
      <c r="DJ4" s="33">
        <v>45738</v>
      </c>
      <c r="DK4" s="33">
        <v>45739</v>
      </c>
      <c r="DL4" s="33">
        <v>45740</v>
      </c>
      <c r="DM4" s="33">
        <v>45741</v>
      </c>
      <c r="DN4" s="33">
        <v>45742</v>
      </c>
      <c r="DO4" s="33">
        <v>45743</v>
      </c>
      <c r="DP4" s="33">
        <v>45744</v>
      </c>
      <c r="DQ4" s="33">
        <v>45745</v>
      </c>
      <c r="DR4" s="33">
        <v>45746</v>
      </c>
      <c r="DS4" s="34">
        <v>45747</v>
      </c>
      <c r="DT4" s="32">
        <v>45748</v>
      </c>
      <c r="DU4" s="33">
        <v>45749</v>
      </c>
      <c r="DV4" s="33">
        <v>45750</v>
      </c>
      <c r="DW4" s="33">
        <v>45751</v>
      </c>
      <c r="DX4" s="33">
        <v>45752</v>
      </c>
      <c r="DY4" s="33">
        <v>45753</v>
      </c>
      <c r="DZ4" s="33">
        <v>45754</v>
      </c>
      <c r="EA4" s="33">
        <v>45755</v>
      </c>
      <c r="EB4" s="33">
        <v>45756</v>
      </c>
      <c r="EC4" s="33">
        <v>45757</v>
      </c>
      <c r="ED4" s="33">
        <v>45758</v>
      </c>
      <c r="EE4" s="33">
        <v>45759</v>
      </c>
      <c r="EF4" s="33">
        <v>45760</v>
      </c>
      <c r="EG4" s="33">
        <v>45761</v>
      </c>
      <c r="EH4" s="33">
        <v>45762</v>
      </c>
      <c r="EI4" s="33">
        <v>45763</v>
      </c>
      <c r="EJ4" s="33">
        <v>45764</v>
      </c>
      <c r="EK4" s="33">
        <v>45765</v>
      </c>
      <c r="EL4" s="33">
        <v>45766</v>
      </c>
      <c r="EM4" s="33">
        <v>45767</v>
      </c>
      <c r="EN4" s="33">
        <v>45768</v>
      </c>
      <c r="EO4" s="33">
        <v>45769</v>
      </c>
      <c r="EP4" s="33">
        <v>45770</v>
      </c>
      <c r="EQ4" s="33">
        <v>45771</v>
      </c>
      <c r="ER4" s="33">
        <v>45772</v>
      </c>
      <c r="ES4" s="33">
        <v>45773</v>
      </c>
      <c r="ET4" s="33">
        <v>45774</v>
      </c>
      <c r="EU4" s="33">
        <v>45775</v>
      </c>
      <c r="EV4" s="33">
        <v>45776</v>
      </c>
      <c r="EW4" s="34">
        <v>45777</v>
      </c>
      <c r="EX4" s="32">
        <v>45778</v>
      </c>
      <c r="EY4" s="33">
        <v>45779</v>
      </c>
      <c r="EZ4" s="33">
        <v>45780</v>
      </c>
      <c r="FA4" s="33">
        <v>45781</v>
      </c>
      <c r="FB4" s="33">
        <v>45782</v>
      </c>
      <c r="FC4" s="33">
        <v>45783</v>
      </c>
      <c r="FD4" s="33">
        <v>45784</v>
      </c>
      <c r="FE4" s="33">
        <v>45785</v>
      </c>
      <c r="FF4" s="33">
        <v>45786</v>
      </c>
      <c r="FG4" s="33">
        <v>45787</v>
      </c>
      <c r="FH4" s="33">
        <v>45788</v>
      </c>
      <c r="FI4" s="33">
        <v>45789</v>
      </c>
      <c r="FJ4" s="33">
        <v>45790</v>
      </c>
      <c r="FK4" s="33">
        <v>45791</v>
      </c>
      <c r="FL4" s="33">
        <v>45792</v>
      </c>
      <c r="FM4" s="33">
        <v>45793</v>
      </c>
      <c r="FN4" s="33">
        <v>45794</v>
      </c>
      <c r="FO4" s="33">
        <v>45795</v>
      </c>
      <c r="FP4" s="33">
        <v>45796</v>
      </c>
      <c r="FQ4" s="33">
        <v>45797</v>
      </c>
      <c r="FR4" s="33">
        <v>45798</v>
      </c>
      <c r="FS4" s="33">
        <v>45799</v>
      </c>
      <c r="FT4" s="33">
        <v>45800</v>
      </c>
      <c r="FU4" s="33">
        <v>45801</v>
      </c>
      <c r="FV4" s="33">
        <v>45802</v>
      </c>
      <c r="FW4" s="33">
        <v>45803</v>
      </c>
      <c r="FX4" s="33">
        <v>45804</v>
      </c>
      <c r="FY4" s="33">
        <v>45805</v>
      </c>
      <c r="FZ4" s="33">
        <v>45806</v>
      </c>
      <c r="GA4" s="33">
        <v>45807</v>
      </c>
      <c r="GB4" s="34">
        <v>45808</v>
      </c>
      <c r="GC4" s="32">
        <v>45809</v>
      </c>
      <c r="GD4" s="33">
        <v>45810</v>
      </c>
      <c r="GE4" s="33">
        <v>45811</v>
      </c>
      <c r="GF4" s="33">
        <v>45812</v>
      </c>
      <c r="GG4" s="33">
        <v>45813</v>
      </c>
      <c r="GH4" s="33">
        <v>45814</v>
      </c>
      <c r="GI4" s="33">
        <v>45815</v>
      </c>
      <c r="GJ4" s="33">
        <v>45816</v>
      </c>
      <c r="GK4" s="33">
        <v>45817</v>
      </c>
      <c r="GL4" s="33">
        <v>45818</v>
      </c>
      <c r="GM4" s="33">
        <v>45819</v>
      </c>
      <c r="GN4" s="33">
        <v>45820</v>
      </c>
      <c r="GO4" s="33">
        <v>45821</v>
      </c>
      <c r="GP4" s="33">
        <v>45822</v>
      </c>
      <c r="GQ4" s="33">
        <v>45823</v>
      </c>
      <c r="GR4" s="33">
        <v>45824</v>
      </c>
      <c r="GS4" s="33">
        <v>45825</v>
      </c>
      <c r="GT4" s="33">
        <v>45826</v>
      </c>
      <c r="GU4" s="33">
        <v>45827</v>
      </c>
      <c r="GV4" s="33">
        <v>45828</v>
      </c>
      <c r="GW4" s="33">
        <v>45829</v>
      </c>
      <c r="GX4" s="33">
        <v>45830</v>
      </c>
      <c r="GY4" s="33">
        <v>45831</v>
      </c>
      <c r="GZ4" s="33">
        <v>45832</v>
      </c>
      <c r="HA4" s="33">
        <v>45833</v>
      </c>
      <c r="HB4" s="33">
        <v>45834</v>
      </c>
      <c r="HC4" s="33">
        <v>45835</v>
      </c>
      <c r="HD4" s="33">
        <v>45836</v>
      </c>
      <c r="HE4" s="33">
        <v>45837</v>
      </c>
      <c r="HF4" s="34">
        <v>45838</v>
      </c>
      <c r="HG4" s="32">
        <v>45839</v>
      </c>
      <c r="HH4" s="33">
        <v>45840</v>
      </c>
      <c r="HI4" s="33">
        <v>45841</v>
      </c>
      <c r="HJ4" s="33">
        <v>45842</v>
      </c>
      <c r="HK4" s="33">
        <v>45843</v>
      </c>
      <c r="HL4" s="33">
        <v>45844</v>
      </c>
      <c r="HM4" s="33">
        <v>45845</v>
      </c>
      <c r="HN4" s="33">
        <v>45846</v>
      </c>
      <c r="HO4" s="33">
        <v>45847</v>
      </c>
      <c r="HP4" s="33">
        <v>45848</v>
      </c>
      <c r="HQ4" s="33">
        <v>45849</v>
      </c>
      <c r="HR4" s="33">
        <v>45850</v>
      </c>
      <c r="HS4" s="33">
        <v>45851</v>
      </c>
      <c r="HT4" s="33">
        <v>45852</v>
      </c>
      <c r="HU4" s="33">
        <v>45853</v>
      </c>
      <c r="HV4" s="33">
        <v>45854</v>
      </c>
      <c r="HW4" s="33">
        <v>45855</v>
      </c>
      <c r="HX4" s="33">
        <v>45856</v>
      </c>
      <c r="HY4" s="33">
        <v>45857</v>
      </c>
      <c r="HZ4" s="33">
        <v>45858</v>
      </c>
      <c r="IA4" s="33">
        <v>45859</v>
      </c>
      <c r="IB4" s="33">
        <v>45860</v>
      </c>
      <c r="IC4" s="33">
        <v>45861</v>
      </c>
      <c r="ID4" s="33">
        <v>45862</v>
      </c>
      <c r="IE4" s="33">
        <v>45863</v>
      </c>
      <c r="IF4" s="33">
        <v>45864</v>
      </c>
      <c r="IG4" s="33">
        <v>45865</v>
      </c>
      <c r="IH4" s="33">
        <v>45866</v>
      </c>
      <c r="II4" s="33">
        <v>45867</v>
      </c>
      <c r="IJ4" s="33">
        <v>45868</v>
      </c>
      <c r="IK4" s="34">
        <v>45869</v>
      </c>
      <c r="IL4" s="32">
        <v>45870</v>
      </c>
      <c r="IM4" s="33">
        <v>45871</v>
      </c>
      <c r="IN4" s="33">
        <v>45872</v>
      </c>
      <c r="IO4" s="33">
        <v>45873</v>
      </c>
      <c r="IP4" s="33">
        <v>45874</v>
      </c>
      <c r="IQ4" s="33">
        <v>45875</v>
      </c>
      <c r="IR4" s="33">
        <v>45876</v>
      </c>
      <c r="IS4" s="33">
        <v>45877</v>
      </c>
      <c r="IT4" s="33">
        <v>45878</v>
      </c>
      <c r="IU4" s="33">
        <v>45879</v>
      </c>
      <c r="IV4" s="33">
        <v>45880</v>
      </c>
      <c r="IW4" s="33">
        <v>45881</v>
      </c>
      <c r="IX4" s="33">
        <v>45882</v>
      </c>
      <c r="IY4" s="33">
        <v>45883</v>
      </c>
      <c r="IZ4" s="33">
        <v>45884</v>
      </c>
      <c r="JA4" s="33">
        <v>45885</v>
      </c>
      <c r="JB4" s="33">
        <v>45886</v>
      </c>
      <c r="JC4" s="33">
        <v>45887</v>
      </c>
      <c r="JD4" s="33">
        <v>45888</v>
      </c>
      <c r="JE4" s="33">
        <v>45889</v>
      </c>
      <c r="JF4" s="33">
        <v>45890</v>
      </c>
      <c r="JG4" s="33">
        <v>45891</v>
      </c>
      <c r="JH4" s="33">
        <v>45892</v>
      </c>
      <c r="JI4" s="33">
        <v>45893</v>
      </c>
      <c r="JJ4" s="33">
        <v>45894</v>
      </c>
      <c r="JK4" s="33">
        <v>45895</v>
      </c>
      <c r="JL4" s="33">
        <v>45896</v>
      </c>
      <c r="JM4" s="33">
        <v>45897</v>
      </c>
      <c r="JN4" s="33">
        <v>45898</v>
      </c>
      <c r="JO4" s="33">
        <v>45899</v>
      </c>
      <c r="JP4" s="34">
        <v>45900</v>
      </c>
      <c r="JQ4" s="32">
        <v>45901</v>
      </c>
      <c r="JR4" s="33">
        <v>45902</v>
      </c>
      <c r="JS4" s="33">
        <v>45903</v>
      </c>
      <c r="JT4" s="33">
        <v>45904</v>
      </c>
      <c r="JU4" s="33">
        <v>45905</v>
      </c>
      <c r="JV4" s="33">
        <v>45906</v>
      </c>
      <c r="JW4" s="33">
        <v>45907</v>
      </c>
      <c r="JX4" s="33">
        <v>45908</v>
      </c>
      <c r="JY4" s="33">
        <v>45909</v>
      </c>
      <c r="JZ4" s="33">
        <v>45910</v>
      </c>
      <c r="KA4" s="33">
        <v>45911</v>
      </c>
      <c r="KB4" s="33">
        <v>45912</v>
      </c>
      <c r="KC4" s="33">
        <v>45913</v>
      </c>
      <c r="KD4" s="33">
        <v>45914</v>
      </c>
      <c r="KE4" s="33">
        <v>45915</v>
      </c>
      <c r="KF4" s="33">
        <v>45916</v>
      </c>
      <c r="KG4" s="33">
        <v>45917</v>
      </c>
      <c r="KH4" s="33">
        <v>45918</v>
      </c>
      <c r="KI4" s="33">
        <v>45919</v>
      </c>
      <c r="KJ4" s="33">
        <v>45920</v>
      </c>
      <c r="KK4" s="33">
        <v>45921</v>
      </c>
      <c r="KL4" s="33">
        <v>45922</v>
      </c>
      <c r="KM4" s="33">
        <v>45923</v>
      </c>
      <c r="KN4" s="33">
        <v>45924</v>
      </c>
      <c r="KO4" s="33">
        <v>45925</v>
      </c>
      <c r="KP4" s="33">
        <v>45926</v>
      </c>
      <c r="KQ4" s="33">
        <v>45927</v>
      </c>
      <c r="KR4" s="33">
        <v>45928</v>
      </c>
      <c r="KS4" s="33">
        <v>45929</v>
      </c>
      <c r="KT4" s="34">
        <v>45930</v>
      </c>
      <c r="KU4" s="32">
        <v>45931</v>
      </c>
      <c r="KV4" s="33">
        <v>45932</v>
      </c>
      <c r="KW4" s="33">
        <v>45933</v>
      </c>
      <c r="KX4" s="33">
        <v>45934</v>
      </c>
      <c r="KY4" s="33">
        <v>45935</v>
      </c>
      <c r="KZ4" s="33">
        <v>45936</v>
      </c>
      <c r="LA4" s="33">
        <v>45937</v>
      </c>
      <c r="LB4" s="33">
        <v>45938</v>
      </c>
      <c r="LC4" s="33">
        <v>45939</v>
      </c>
      <c r="LD4" s="33">
        <v>45940</v>
      </c>
      <c r="LE4" s="33">
        <v>45941</v>
      </c>
      <c r="LF4" s="33">
        <v>45942</v>
      </c>
      <c r="LG4" s="33">
        <v>45943</v>
      </c>
      <c r="LH4" s="33">
        <v>45944</v>
      </c>
      <c r="LI4" s="33">
        <v>45945</v>
      </c>
      <c r="LJ4" s="33">
        <v>45946</v>
      </c>
      <c r="LK4" s="33">
        <v>45947</v>
      </c>
      <c r="LL4" s="33">
        <v>45948</v>
      </c>
      <c r="LM4" s="33">
        <v>45949</v>
      </c>
      <c r="LN4" s="33">
        <v>45950</v>
      </c>
      <c r="LO4" s="33">
        <v>45951</v>
      </c>
      <c r="LP4" s="33">
        <v>45952</v>
      </c>
      <c r="LQ4" s="33">
        <v>45953</v>
      </c>
      <c r="LR4" s="33">
        <v>45954</v>
      </c>
      <c r="LS4" s="33">
        <v>45955</v>
      </c>
      <c r="LT4" s="33">
        <v>45956</v>
      </c>
      <c r="LU4" s="33">
        <v>45957</v>
      </c>
      <c r="LV4" s="33">
        <v>45958</v>
      </c>
      <c r="LW4" s="33">
        <v>45959</v>
      </c>
      <c r="LX4" s="33">
        <v>45960</v>
      </c>
      <c r="LY4" s="34">
        <v>45961</v>
      </c>
      <c r="LZ4" s="32">
        <v>45962</v>
      </c>
      <c r="MA4" s="33">
        <v>45963</v>
      </c>
      <c r="MB4" s="33">
        <v>45964</v>
      </c>
      <c r="MC4" s="33">
        <v>45965</v>
      </c>
      <c r="MD4" s="33">
        <v>45966</v>
      </c>
      <c r="ME4" s="33">
        <v>45967</v>
      </c>
      <c r="MF4" s="33">
        <v>45968</v>
      </c>
      <c r="MG4" s="33">
        <v>45969</v>
      </c>
      <c r="MH4" s="33">
        <v>45970</v>
      </c>
      <c r="MI4" s="33">
        <v>45971</v>
      </c>
      <c r="MJ4" s="33">
        <v>45972</v>
      </c>
      <c r="MK4" s="33">
        <v>45973</v>
      </c>
      <c r="ML4" s="33">
        <v>45974</v>
      </c>
      <c r="MM4" s="33">
        <v>45975</v>
      </c>
      <c r="MN4" s="33">
        <v>45976</v>
      </c>
      <c r="MO4" s="33">
        <v>45977</v>
      </c>
      <c r="MP4" s="33">
        <v>45978</v>
      </c>
      <c r="MQ4" s="33">
        <v>45979</v>
      </c>
      <c r="MR4" s="33">
        <v>45980</v>
      </c>
      <c r="MS4" s="33">
        <v>45981</v>
      </c>
      <c r="MT4" s="33">
        <v>45982</v>
      </c>
      <c r="MU4" s="33">
        <v>45983</v>
      </c>
      <c r="MV4" s="33">
        <v>45984</v>
      </c>
      <c r="MW4" s="33">
        <v>45985</v>
      </c>
      <c r="MX4" s="33">
        <v>45986</v>
      </c>
      <c r="MY4" s="33">
        <v>45987</v>
      </c>
      <c r="MZ4" s="33">
        <v>45988</v>
      </c>
      <c r="NA4" s="33">
        <v>45989</v>
      </c>
      <c r="NB4" s="33">
        <v>45990</v>
      </c>
      <c r="NC4" s="34">
        <v>45991</v>
      </c>
      <c r="ND4" s="32">
        <v>45992</v>
      </c>
      <c r="NE4" s="33">
        <v>45993</v>
      </c>
      <c r="NF4" s="33">
        <v>45994</v>
      </c>
      <c r="NG4" s="33">
        <v>45995</v>
      </c>
      <c r="NH4" s="33">
        <v>45996</v>
      </c>
      <c r="NI4" s="33">
        <v>45997</v>
      </c>
      <c r="NJ4" s="33">
        <v>45998</v>
      </c>
      <c r="NK4" s="33">
        <v>45999</v>
      </c>
      <c r="NL4" s="33">
        <v>46000</v>
      </c>
      <c r="NM4" s="33">
        <v>46001</v>
      </c>
      <c r="NN4" s="33">
        <v>46002</v>
      </c>
      <c r="NO4" s="33">
        <v>46003</v>
      </c>
      <c r="NP4" s="33">
        <v>46004</v>
      </c>
      <c r="NQ4" s="33">
        <v>46005</v>
      </c>
      <c r="NR4" s="33">
        <v>46006</v>
      </c>
      <c r="NS4" s="33">
        <v>46007</v>
      </c>
      <c r="NT4" s="33">
        <v>46008</v>
      </c>
      <c r="NU4" s="33">
        <v>46009</v>
      </c>
      <c r="NV4" s="33">
        <v>46010</v>
      </c>
      <c r="NW4" s="33">
        <v>46011</v>
      </c>
      <c r="NX4" s="33">
        <v>46012</v>
      </c>
      <c r="NY4" s="33">
        <v>46013</v>
      </c>
      <c r="NZ4" s="33">
        <v>46014</v>
      </c>
      <c r="OA4" s="33">
        <v>46015</v>
      </c>
      <c r="OB4" s="33">
        <v>46016</v>
      </c>
      <c r="OC4" s="33">
        <v>46017</v>
      </c>
      <c r="OD4" s="33">
        <v>46018</v>
      </c>
      <c r="OE4" s="33">
        <v>46019</v>
      </c>
      <c r="OF4" s="33">
        <v>46020</v>
      </c>
      <c r="OG4" s="33">
        <v>46021</v>
      </c>
      <c r="OH4" s="34">
        <v>46022</v>
      </c>
    </row>
    <row r="5" spans="1:398" s="3" customFormat="1" ht="16.5" customHeight="1" x14ac:dyDescent="0.3">
      <c r="A5" s="49"/>
      <c r="B5" s="49"/>
      <c r="C5" s="49"/>
      <c r="D5" s="51"/>
      <c r="E5" s="53"/>
      <c r="F5" s="12" t="s">
        <v>11</v>
      </c>
      <c r="G5" s="12" t="s">
        <v>12</v>
      </c>
      <c r="H5" s="12" t="s">
        <v>13</v>
      </c>
      <c r="I5" s="12" t="s">
        <v>14</v>
      </c>
      <c r="J5" s="12">
        <f ca="1">YEAR(TODAY())-1</f>
        <v>2025</v>
      </c>
      <c r="K5" s="12">
        <f ca="1">YEAR(TODAY())</f>
        <v>2026</v>
      </c>
      <c r="L5" s="12" t="s">
        <v>15</v>
      </c>
      <c r="M5" s="12" t="s">
        <v>16</v>
      </c>
      <c r="N5" s="49"/>
      <c r="O5" s="12">
        <f ca="1">YEAR(TODAY())-2</f>
        <v>2024</v>
      </c>
      <c r="P5" s="13">
        <f ca="1">YEAR(TODAY())-1</f>
        <v>2025</v>
      </c>
      <c r="Q5" s="14" t="s">
        <v>17</v>
      </c>
      <c r="R5" s="15" t="s">
        <v>18</v>
      </c>
      <c r="S5" s="12" t="s">
        <v>19</v>
      </c>
      <c r="T5" s="12" t="s">
        <v>20</v>
      </c>
      <c r="U5" s="12" t="s">
        <v>21</v>
      </c>
      <c r="V5" s="12" t="s">
        <v>22</v>
      </c>
      <c r="W5" s="12" t="s">
        <v>23</v>
      </c>
      <c r="X5" s="12" t="s">
        <v>24</v>
      </c>
      <c r="Y5" s="12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6" t="s">
        <v>31</v>
      </c>
      <c r="AF5" s="17" t="s">
        <v>32</v>
      </c>
      <c r="AG5" s="29" t="s">
        <v>33</v>
      </c>
      <c r="AH5" s="42">
        <f>WEEKDAY(AH4,1)</f>
        <v>4</v>
      </c>
      <c r="AI5" s="43">
        <f t="shared" ref="AI5:CT5" si="10">WEEKDAY(AI4,1)</f>
        <v>5</v>
      </c>
      <c r="AJ5" s="43">
        <f t="shared" si="10"/>
        <v>6</v>
      </c>
      <c r="AK5" s="43">
        <f t="shared" si="10"/>
        <v>7</v>
      </c>
      <c r="AL5" s="43">
        <f t="shared" si="10"/>
        <v>1</v>
      </c>
      <c r="AM5" s="43">
        <f t="shared" si="10"/>
        <v>2</v>
      </c>
      <c r="AN5" s="43">
        <f t="shared" si="10"/>
        <v>3</v>
      </c>
      <c r="AO5" s="43">
        <f t="shared" si="10"/>
        <v>4</v>
      </c>
      <c r="AP5" s="43">
        <f t="shared" si="10"/>
        <v>5</v>
      </c>
      <c r="AQ5" s="43">
        <f t="shared" si="10"/>
        <v>6</v>
      </c>
      <c r="AR5" s="43">
        <f t="shared" si="10"/>
        <v>7</v>
      </c>
      <c r="AS5" s="43">
        <f t="shared" si="10"/>
        <v>1</v>
      </c>
      <c r="AT5" s="43">
        <f t="shared" si="10"/>
        <v>2</v>
      </c>
      <c r="AU5" s="43">
        <f t="shared" si="10"/>
        <v>3</v>
      </c>
      <c r="AV5" s="43">
        <f t="shared" si="10"/>
        <v>4</v>
      </c>
      <c r="AW5" s="43">
        <f t="shared" si="10"/>
        <v>5</v>
      </c>
      <c r="AX5" s="43">
        <f t="shared" si="10"/>
        <v>6</v>
      </c>
      <c r="AY5" s="43">
        <f t="shared" si="10"/>
        <v>7</v>
      </c>
      <c r="AZ5" s="43">
        <f t="shared" si="10"/>
        <v>1</v>
      </c>
      <c r="BA5" s="43">
        <f t="shared" si="10"/>
        <v>2</v>
      </c>
      <c r="BB5" s="43">
        <f t="shared" si="10"/>
        <v>3</v>
      </c>
      <c r="BC5" s="43">
        <f t="shared" si="10"/>
        <v>4</v>
      </c>
      <c r="BD5" s="43">
        <f t="shared" si="10"/>
        <v>5</v>
      </c>
      <c r="BE5" s="43">
        <f t="shared" si="10"/>
        <v>6</v>
      </c>
      <c r="BF5" s="43">
        <f t="shared" si="10"/>
        <v>7</v>
      </c>
      <c r="BG5" s="43">
        <f t="shared" si="10"/>
        <v>1</v>
      </c>
      <c r="BH5" s="43">
        <f t="shared" si="10"/>
        <v>2</v>
      </c>
      <c r="BI5" s="43">
        <f t="shared" si="10"/>
        <v>3</v>
      </c>
      <c r="BJ5" s="43">
        <f t="shared" si="10"/>
        <v>4</v>
      </c>
      <c r="BK5" s="43">
        <f t="shared" si="10"/>
        <v>5</v>
      </c>
      <c r="BL5" s="44">
        <f t="shared" si="10"/>
        <v>6</v>
      </c>
      <c r="BM5" s="42">
        <f t="shared" si="10"/>
        <v>7</v>
      </c>
      <c r="BN5" s="43">
        <f t="shared" si="10"/>
        <v>1</v>
      </c>
      <c r="BO5" s="43">
        <f t="shared" si="10"/>
        <v>2</v>
      </c>
      <c r="BP5" s="43">
        <f t="shared" si="10"/>
        <v>3</v>
      </c>
      <c r="BQ5" s="43">
        <f t="shared" si="10"/>
        <v>4</v>
      </c>
      <c r="BR5" s="43">
        <f t="shared" si="10"/>
        <v>5</v>
      </c>
      <c r="BS5" s="43">
        <f t="shared" si="10"/>
        <v>6</v>
      </c>
      <c r="BT5" s="43">
        <f t="shared" si="10"/>
        <v>7</v>
      </c>
      <c r="BU5" s="43">
        <f t="shared" si="10"/>
        <v>1</v>
      </c>
      <c r="BV5" s="43">
        <f t="shared" si="10"/>
        <v>2</v>
      </c>
      <c r="BW5" s="43">
        <f t="shared" si="10"/>
        <v>3</v>
      </c>
      <c r="BX5" s="43">
        <f t="shared" si="10"/>
        <v>4</v>
      </c>
      <c r="BY5" s="43">
        <f t="shared" si="10"/>
        <v>5</v>
      </c>
      <c r="BZ5" s="43">
        <f t="shared" si="10"/>
        <v>6</v>
      </c>
      <c r="CA5" s="43">
        <f t="shared" si="10"/>
        <v>7</v>
      </c>
      <c r="CB5" s="43">
        <f t="shared" si="10"/>
        <v>1</v>
      </c>
      <c r="CC5" s="43">
        <f t="shared" si="10"/>
        <v>2</v>
      </c>
      <c r="CD5" s="43">
        <f t="shared" si="10"/>
        <v>3</v>
      </c>
      <c r="CE5" s="43">
        <f t="shared" si="10"/>
        <v>4</v>
      </c>
      <c r="CF5" s="43">
        <f t="shared" si="10"/>
        <v>5</v>
      </c>
      <c r="CG5" s="43">
        <f t="shared" si="10"/>
        <v>6</v>
      </c>
      <c r="CH5" s="43">
        <f t="shared" si="10"/>
        <v>7</v>
      </c>
      <c r="CI5" s="43">
        <f t="shared" si="10"/>
        <v>1</v>
      </c>
      <c r="CJ5" s="43">
        <f t="shared" si="10"/>
        <v>2</v>
      </c>
      <c r="CK5" s="43">
        <f t="shared" si="10"/>
        <v>3</v>
      </c>
      <c r="CL5" s="43">
        <f t="shared" si="10"/>
        <v>4</v>
      </c>
      <c r="CM5" s="43">
        <f t="shared" si="10"/>
        <v>5</v>
      </c>
      <c r="CN5" s="44">
        <f t="shared" si="10"/>
        <v>6</v>
      </c>
      <c r="CO5" s="42" t="s">
        <v>49</v>
      </c>
      <c r="CP5" s="42" t="s">
        <v>50</v>
      </c>
      <c r="CQ5" s="42" t="s">
        <v>51</v>
      </c>
      <c r="CR5" s="42" t="s">
        <v>52</v>
      </c>
      <c r="CS5" s="42" t="s">
        <v>53</v>
      </c>
      <c r="CT5" s="42" t="s">
        <v>54</v>
      </c>
      <c r="CU5" s="42" t="s">
        <v>55</v>
      </c>
      <c r="CV5" s="42" t="s">
        <v>48</v>
      </c>
      <c r="CW5" s="42" t="s">
        <v>50</v>
      </c>
      <c r="CX5" s="42" t="s">
        <v>51</v>
      </c>
      <c r="CY5" s="42" t="s">
        <v>52</v>
      </c>
      <c r="CZ5" s="42" t="s">
        <v>53</v>
      </c>
      <c r="DA5" s="42" t="s">
        <v>54</v>
      </c>
      <c r="DB5" s="42" t="s">
        <v>55</v>
      </c>
      <c r="DC5" s="42" t="s">
        <v>48</v>
      </c>
      <c r="DD5" s="42" t="s">
        <v>50</v>
      </c>
      <c r="DE5" s="42" t="s">
        <v>51</v>
      </c>
      <c r="DF5" s="42" t="s">
        <v>52</v>
      </c>
      <c r="DG5" s="42" t="s">
        <v>53</v>
      </c>
      <c r="DH5" s="42" t="s">
        <v>54</v>
      </c>
      <c r="DI5" s="42" t="s">
        <v>55</v>
      </c>
      <c r="DJ5" s="42" t="s">
        <v>48</v>
      </c>
      <c r="DK5" s="42" t="s">
        <v>50</v>
      </c>
      <c r="DL5" s="42" t="s">
        <v>51</v>
      </c>
      <c r="DM5" s="42" t="s">
        <v>52</v>
      </c>
      <c r="DN5" s="42" t="s">
        <v>53</v>
      </c>
      <c r="DO5" s="42" t="s">
        <v>54</v>
      </c>
      <c r="DP5" s="42" t="s">
        <v>55</v>
      </c>
      <c r="DQ5" s="42" t="s">
        <v>48</v>
      </c>
      <c r="DR5" s="42" t="s">
        <v>50</v>
      </c>
      <c r="DS5" s="42" t="s">
        <v>51</v>
      </c>
      <c r="DT5" s="42" t="s">
        <v>58</v>
      </c>
      <c r="DU5" s="42" t="s">
        <v>53</v>
      </c>
      <c r="DV5" s="42" t="s">
        <v>54</v>
      </c>
      <c r="DW5" s="42" t="s">
        <v>55</v>
      </c>
      <c r="DX5" s="42" t="s">
        <v>48</v>
      </c>
      <c r="DY5" s="42" t="s">
        <v>50</v>
      </c>
      <c r="DZ5" s="42" t="s">
        <v>51</v>
      </c>
      <c r="EA5" s="42" t="s">
        <v>52</v>
      </c>
      <c r="EB5" s="42" t="s">
        <v>53</v>
      </c>
      <c r="EC5" s="42" t="s">
        <v>54</v>
      </c>
      <c r="ED5" s="42" t="s">
        <v>55</v>
      </c>
      <c r="EE5" s="42" t="s">
        <v>48</v>
      </c>
      <c r="EF5" s="42" t="s">
        <v>50</v>
      </c>
      <c r="EG5" s="42" t="s">
        <v>51</v>
      </c>
      <c r="EH5" s="42" t="s">
        <v>52</v>
      </c>
      <c r="EI5" s="42" t="s">
        <v>53</v>
      </c>
      <c r="EJ5" s="42" t="s">
        <v>54</v>
      </c>
      <c r="EK5" s="42" t="s">
        <v>55</v>
      </c>
      <c r="EL5" s="42" t="s">
        <v>48</v>
      </c>
      <c r="EM5" s="42" t="s">
        <v>50</v>
      </c>
      <c r="EN5" s="42" t="s">
        <v>51</v>
      </c>
      <c r="EO5" s="42" t="s">
        <v>52</v>
      </c>
      <c r="EP5" s="42" t="s">
        <v>53</v>
      </c>
      <c r="EQ5" s="42" t="s">
        <v>54</v>
      </c>
      <c r="ER5" s="42" t="s">
        <v>55</v>
      </c>
      <c r="ES5" s="42" t="s">
        <v>48</v>
      </c>
      <c r="ET5" s="42" t="s">
        <v>50</v>
      </c>
      <c r="EU5" s="42" t="s">
        <v>51</v>
      </c>
      <c r="EV5" s="42" t="s">
        <v>52</v>
      </c>
      <c r="EW5" s="42" t="s">
        <v>53</v>
      </c>
      <c r="EX5" s="42">
        <f t="shared" ref="CU5:FF5" si="11">WEEKDAY(EX4,1)</f>
        <v>5</v>
      </c>
      <c r="EY5" s="43">
        <f t="shared" si="11"/>
        <v>6</v>
      </c>
      <c r="EZ5" s="43">
        <f t="shared" si="11"/>
        <v>7</v>
      </c>
      <c r="FA5" s="43">
        <f t="shared" si="11"/>
        <v>1</v>
      </c>
      <c r="FB5" s="43">
        <f t="shared" si="11"/>
        <v>2</v>
      </c>
      <c r="FC5" s="43">
        <f t="shared" si="11"/>
        <v>3</v>
      </c>
      <c r="FD5" s="43">
        <f t="shared" si="11"/>
        <v>4</v>
      </c>
      <c r="FE5" s="43">
        <f t="shared" si="11"/>
        <v>5</v>
      </c>
      <c r="FF5" s="43">
        <f t="shared" si="11"/>
        <v>6</v>
      </c>
      <c r="FG5" s="43">
        <f t="shared" ref="FG5:HR5" si="12">WEEKDAY(FG4,1)</f>
        <v>7</v>
      </c>
      <c r="FH5" s="43">
        <f t="shared" si="12"/>
        <v>1</v>
      </c>
      <c r="FI5" s="43">
        <f t="shared" si="12"/>
        <v>2</v>
      </c>
      <c r="FJ5" s="43">
        <f t="shared" si="12"/>
        <v>3</v>
      </c>
      <c r="FK5" s="43">
        <f t="shared" si="12"/>
        <v>4</v>
      </c>
      <c r="FL5" s="43">
        <f t="shared" si="12"/>
        <v>5</v>
      </c>
      <c r="FM5" s="43">
        <f t="shared" si="12"/>
        <v>6</v>
      </c>
      <c r="FN5" s="43">
        <f t="shared" si="12"/>
        <v>7</v>
      </c>
      <c r="FO5" s="43">
        <f t="shared" si="12"/>
        <v>1</v>
      </c>
      <c r="FP5" s="43">
        <f t="shared" si="12"/>
        <v>2</v>
      </c>
      <c r="FQ5" s="43">
        <f t="shared" si="12"/>
        <v>3</v>
      </c>
      <c r="FR5" s="43">
        <f t="shared" si="12"/>
        <v>4</v>
      </c>
      <c r="FS5" s="43">
        <f t="shared" si="12"/>
        <v>5</v>
      </c>
      <c r="FT5" s="43">
        <f t="shared" si="12"/>
        <v>6</v>
      </c>
      <c r="FU5" s="43">
        <f t="shared" si="12"/>
        <v>7</v>
      </c>
      <c r="FV5" s="43">
        <f t="shared" si="12"/>
        <v>1</v>
      </c>
      <c r="FW5" s="43">
        <f t="shared" si="12"/>
        <v>2</v>
      </c>
      <c r="FX5" s="43">
        <f t="shared" si="12"/>
        <v>3</v>
      </c>
      <c r="FY5" s="43">
        <f t="shared" si="12"/>
        <v>4</v>
      </c>
      <c r="FZ5" s="43">
        <f t="shared" si="12"/>
        <v>5</v>
      </c>
      <c r="GA5" s="43">
        <f t="shared" si="12"/>
        <v>6</v>
      </c>
      <c r="GB5" s="44">
        <f t="shared" si="12"/>
        <v>7</v>
      </c>
      <c r="GC5" s="42">
        <f t="shared" si="12"/>
        <v>1</v>
      </c>
      <c r="GD5" s="43">
        <f t="shared" si="12"/>
        <v>2</v>
      </c>
      <c r="GE5" s="43">
        <f t="shared" si="12"/>
        <v>3</v>
      </c>
      <c r="GF5" s="43">
        <f t="shared" si="12"/>
        <v>4</v>
      </c>
      <c r="GG5" s="43">
        <f t="shared" si="12"/>
        <v>5</v>
      </c>
      <c r="GH5" s="43">
        <f t="shared" si="12"/>
        <v>6</v>
      </c>
      <c r="GI5" s="43">
        <f t="shared" si="12"/>
        <v>7</v>
      </c>
      <c r="GJ5" s="43">
        <f t="shared" si="12"/>
        <v>1</v>
      </c>
      <c r="GK5" s="43">
        <f t="shared" si="12"/>
        <v>2</v>
      </c>
      <c r="GL5" s="43">
        <f t="shared" si="12"/>
        <v>3</v>
      </c>
      <c r="GM5" s="43">
        <f t="shared" si="12"/>
        <v>4</v>
      </c>
      <c r="GN5" s="43">
        <f t="shared" si="12"/>
        <v>5</v>
      </c>
      <c r="GO5" s="43">
        <f t="shared" si="12"/>
        <v>6</v>
      </c>
      <c r="GP5" s="43">
        <f t="shared" si="12"/>
        <v>7</v>
      </c>
      <c r="GQ5" s="43">
        <f t="shared" si="12"/>
        <v>1</v>
      </c>
      <c r="GR5" s="43">
        <f t="shared" si="12"/>
        <v>2</v>
      </c>
      <c r="GS5" s="43">
        <f t="shared" si="12"/>
        <v>3</v>
      </c>
      <c r="GT5" s="43">
        <f t="shared" si="12"/>
        <v>4</v>
      </c>
      <c r="GU5" s="43">
        <f t="shared" si="12"/>
        <v>5</v>
      </c>
      <c r="GV5" s="43">
        <f t="shared" si="12"/>
        <v>6</v>
      </c>
      <c r="GW5" s="43">
        <f t="shared" si="12"/>
        <v>7</v>
      </c>
      <c r="GX5" s="43">
        <f t="shared" si="12"/>
        <v>1</v>
      </c>
      <c r="GY5" s="43">
        <f t="shared" si="12"/>
        <v>2</v>
      </c>
      <c r="GZ5" s="43">
        <f t="shared" si="12"/>
        <v>3</v>
      </c>
      <c r="HA5" s="43">
        <f t="shared" si="12"/>
        <v>4</v>
      </c>
      <c r="HB5" s="43">
        <f t="shared" si="12"/>
        <v>5</v>
      </c>
      <c r="HC5" s="43">
        <f t="shared" si="12"/>
        <v>6</v>
      </c>
      <c r="HD5" s="43">
        <f t="shared" si="12"/>
        <v>7</v>
      </c>
      <c r="HE5" s="43">
        <f t="shared" si="12"/>
        <v>1</v>
      </c>
      <c r="HF5" s="44">
        <f t="shared" si="12"/>
        <v>2</v>
      </c>
      <c r="HG5" s="42">
        <f t="shared" si="12"/>
        <v>3</v>
      </c>
      <c r="HH5" s="43">
        <f t="shared" si="12"/>
        <v>4</v>
      </c>
      <c r="HI5" s="43">
        <f t="shared" si="12"/>
        <v>5</v>
      </c>
      <c r="HJ5" s="43">
        <f t="shared" si="12"/>
        <v>6</v>
      </c>
      <c r="HK5" s="43">
        <f t="shared" si="12"/>
        <v>7</v>
      </c>
      <c r="HL5" s="43">
        <f t="shared" si="12"/>
        <v>1</v>
      </c>
      <c r="HM5" s="43">
        <f t="shared" si="12"/>
        <v>2</v>
      </c>
      <c r="HN5" s="43">
        <f t="shared" si="12"/>
        <v>3</v>
      </c>
      <c r="HO5" s="43">
        <f t="shared" si="12"/>
        <v>4</v>
      </c>
      <c r="HP5" s="43">
        <f t="shared" si="12"/>
        <v>5</v>
      </c>
      <c r="HQ5" s="43">
        <f t="shared" si="12"/>
        <v>6</v>
      </c>
      <c r="HR5" s="43">
        <f t="shared" si="12"/>
        <v>7</v>
      </c>
      <c r="HS5" s="43">
        <f t="shared" ref="HS5:KD5" si="13">WEEKDAY(HS4,1)</f>
        <v>1</v>
      </c>
      <c r="HT5" s="43">
        <f t="shared" si="13"/>
        <v>2</v>
      </c>
      <c r="HU5" s="43">
        <f t="shared" si="13"/>
        <v>3</v>
      </c>
      <c r="HV5" s="43">
        <f t="shared" si="13"/>
        <v>4</v>
      </c>
      <c r="HW5" s="43">
        <f t="shared" si="13"/>
        <v>5</v>
      </c>
      <c r="HX5" s="43">
        <f t="shared" si="13"/>
        <v>6</v>
      </c>
      <c r="HY5" s="43">
        <f t="shared" si="13"/>
        <v>7</v>
      </c>
      <c r="HZ5" s="43">
        <f t="shared" si="13"/>
        <v>1</v>
      </c>
      <c r="IA5" s="43">
        <f t="shared" si="13"/>
        <v>2</v>
      </c>
      <c r="IB5" s="43">
        <f t="shared" si="13"/>
        <v>3</v>
      </c>
      <c r="IC5" s="43">
        <f t="shared" si="13"/>
        <v>4</v>
      </c>
      <c r="ID5" s="43">
        <f t="shared" si="13"/>
        <v>5</v>
      </c>
      <c r="IE5" s="43">
        <f t="shared" si="13"/>
        <v>6</v>
      </c>
      <c r="IF5" s="43">
        <f t="shared" si="13"/>
        <v>7</v>
      </c>
      <c r="IG5" s="43">
        <f t="shared" si="13"/>
        <v>1</v>
      </c>
      <c r="IH5" s="43">
        <f t="shared" si="13"/>
        <v>2</v>
      </c>
      <c r="II5" s="43">
        <f t="shared" si="13"/>
        <v>3</v>
      </c>
      <c r="IJ5" s="43">
        <f t="shared" si="13"/>
        <v>4</v>
      </c>
      <c r="IK5" s="44">
        <f t="shared" si="13"/>
        <v>5</v>
      </c>
      <c r="IL5" s="42">
        <f t="shared" si="13"/>
        <v>6</v>
      </c>
      <c r="IM5" s="43">
        <f t="shared" si="13"/>
        <v>7</v>
      </c>
      <c r="IN5" s="43">
        <f t="shared" si="13"/>
        <v>1</v>
      </c>
      <c r="IO5" s="43">
        <f t="shared" si="13"/>
        <v>2</v>
      </c>
      <c r="IP5" s="43">
        <f t="shared" si="13"/>
        <v>3</v>
      </c>
      <c r="IQ5" s="43">
        <f t="shared" si="13"/>
        <v>4</v>
      </c>
      <c r="IR5" s="43">
        <f t="shared" si="13"/>
        <v>5</v>
      </c>
      <c r="IS5" s="43">
        <f t="shared" si="13"/>
        <v>6</v>
      </c>
      <c r="IT5" s="43">
        <f t="shared" si="13"/>
        <v>7</v>
      </c>
      <c r="IU5" s="43">
        <f t="shared" si="13"/>
        <v>1</v>
      </c>
      <c r="IV5" s="43">
        <f t="shared" si="13"/>
        <v>2</v>
      </c>
      <c r="IW5" s="43">
        <f t="shared" si="13"/>
        <v>3</v>
      </c>
      <c r="IX5" s="43">
        <f t="shared" si="13"/>
        <v>4</v>
      </c>
      <c r="IY5" s="43">
        <f t="shared" si="13"/>
        <v>5</v>
      </c>
      <c r="IZ5" s="43">
        <f t="shared" si="13"/>
        <v>6</v>
      </c>
      <c r="JA5" s="43">
        <f t="shared" si="13"/>
        <v>7</v>
      </c>
      <c r="JB5" s="43">
        <f t="shared" si="13"/>
        <v>1</v>
      </c>
      <c r="JC5" s="43">
        <f t="shared" si="13"/>
        <v>2</v>
      </c>
      <c r="JD5" s="43">
        <f t="shared" si="13"/>
        <v>3</v>
      </c>
      <c r="JE5" s="43">
        <f t="shared" si="13"/>
        <v>4</v>
      </c>
      <c r="JF5" s="43">
        <f t="shared" si="13"/>
        <v>5</v>
      </c>
      <c r="JG5" s="43">
        <f t="shared" si="13"/>
        <v>6</v>
      </c>
      <c r="JH5" s="43">
        <f t="shared" si="13"/>
        <v>7</v>
      </c>
      <c r="JI5" s="43">
        <f t="shared" si="13"/>
        <v>1</v>
      </c>
      <c r="JJ5" s="43">
        <f t="shared" si="13"/>
        <v>2</v>
      </c>
      <c r="JK5" s="43">
        <f t="shared" si="13"/>
        <v>3</v>
      </c>
      <c r="JL5" s="43">
        <f t="shared" si="13"/>
        <v>4</v>
      </c>
      <c r="JM5" s="43">
        <f t="shared" si="13"/>
        <v>5</v>
      </c>
      <c r="JN5" s="43">
        <f t="shared" si="13"/>
        <v>6</v>
      </c>
      <c r="JO5" s="43">
        <f t="shared" si="13"/>
        <v>7</v>
      </c>
      <c r="JP5" s="44">
        <f t="shared" si="13"/>
        <v>1</v>
      </c>
      <c r="JQ5" s="42">
        <f t="shared" si="13"/>
        <v>2</v>
      </c>
      <c r="JR5" s="43">
        <f t="shared" si="13"/>
        <v>3</v>
      </c>
      <c r="JS5" s="43">
        <f t="shared" si="13"/>
        <v>4</v>
      </c>
      <c r="JT5" s="43">
        <f t="shared" si="13"/>
        <v>5</v>
      </c>
      <c r="JU5" s="43">
        <f t="shared" si="13"/>
        <v>6</v>
      </c>
      <c r="JV5" s="43">
        <f t="shared" si="13"/>
        <v>7</v>
      </c>
      <c r="JW5" s="43">
        <f t="shared" si="13"/>
        <v>1</v>
      </c>
      <c r="JX5" s="43">
        <f t="shared" si="13"/>
        <v>2</v>
      </c>
      <c r="JY5" s="43">
        <f t="shared" si="13"/>
        <v>3</v>
      </c>
      <c r="JZ5" s="43">
        <f t="shared" si="13"/>
        <v>4</v>
      </c>
      <c r="KA5" s="43">
        <f t="shared" si="13"/>
        <v>5</v>
      </c>
      <c r="KB5" s="43">
        <f t="shared" si="13"/>
        <v>6</v>
      </c>
      <c r="KC5" s="43">
        <f t="shared" si="13"/>
        <v>7</v>
      </c>
      <c r="KD5" s="43">
        <f t="shared" si="13"/>
        <v>1</v>
      </c>
      <c r="KE5" s="43">
        <f t="shared" ref="KE5:MP5" si="14">WEEKDAY(KE4,1)</f>
        <v>2</v>
      </c>
      <c r="KF5" s="43">
        <f t="shared" si="14"/>
        <v>3</v>
      </c>
      <c r="KG5" s="43">
        <f t="shared" si="14"/>
        <v>4</v>
      </c>
      <c r="KH5" s="43">
        <f t="shared" si="14"/>
        <v>5</v>
      </c>
      <c r="KI5" s="43">
        <f t="shared" si="14"/>
        <v>6</v>
      </c>
      <c r="KJ5" s="43">
        <f t="shared" si="14"/>
        <v>7</v>
      </c>
      <c r="KK5" s="43">
        <f t="shared" si="14"/>
        <v>1</v>
      </c>
      <c r="KL5" s="43">
        <f t="shared" si="14"/>
        <v>2</v>
      </c>
      <c r="KM5" s="43">
        <f t="shared" si="14"/>
        <v>3</v>
      </c>
      <c r="KN5" s="43">
        <f t="shared" si="14"/>
        <v>4</v>
      </c>
      <c r="KO5" s="43">
        <f t="shared" si="14"/>
        <v>5</v>
      </c>
      <c r="KP5" s="43">
        <f t="shared" si="14"/>
        <v>6</v>
      </c>
      <c r="KQ5" s="43">
        <f t="shared" si="14"/>
        <v>7</v>
      </c>
      <c r="KR5" s="43">
        <f t="shared" si="14"/>
        <v>1</v>
      </c>
      <c r="KS5" s="43">
        <f t="shared" si="14"/>
        <v>2</v>
      </c>
      <c r="KT5" s="44">
        <f t="shared" si="14"/>
        <v>3</v>
      </c>
      <c r="KU5" s="42">
        <f t="shared" si="14"/>
        <v>4</v>
      </c>
      <c r="KV5" s="43">
        <f t="shared" si="14"/>
        <v>5</v>
      </c>
      <c r="KW5" s="43">
        <f t="shared" si="14"/>
        <v>6</v>
      </c>
      <c r="KX5" s="43">
        <f t="shared" si="14"/>
        <v>7</v>
      </c>
      <c r="KY5" s="43">
        <f t="shared" si="14"/>
        <v>1</v>
      </c>
      <c r="KZ5" s="43">
        <f t="shared" si="14"/>
        <v>2</v>
      </c>
      <c r="LA5" s="43">
        <f t="shared" si="14"/>
        <v>3</v>
      </c>
      <c r="LB5" s="43">
        <f t="shared" si="14"/>
        <v>4</v>
      </c>
      <c r="LC5" s="43">
        <f t="shared" si="14"/>
        <v>5</v>
      </c>
      <c r="LD5" s="43">
        <f t="shared" si="14"/>
        <v>6</v>
      </c>
      <c r="LE5" s="43">
        <f t="shared" si="14"/>
        <v>7</v>
      </c>
      <c r="LF5" s="43">
        <f t="shared" si="14"/>
        <v>1</v>
      </c>
      <c r="LG5" s="43">
        <f t="shared" si="14"/>
        <v>2</v>
      </c>
      <c r="LH5" s="43">
        <f t="shared" si="14"/>
        <v>3</v>
      </c>
      <c r="LI5" s="43">
        <f t="shared" si="14"/>
        <v>4</v>
      </c>
      <c r="LJ5" s="43">
        <f t="shared" si="14"/>
        <v>5</v>
      </c>
      <c r="LK5" s="43">
        <f t="shared" si="14"/>
        <v>6</v>
      </c>
      <c r="LL5" s="43">
        <f t="shared" si="14"/>
        <v>7</v>
      </c>
      <c r="LM5" s="43">
        <f t="shared" si="14"/>
        <v>1</v>
      </c>
      <c r="LN5" s="43">
        <f t="shared" si="14"/>
        <v>2</v>
      </c>
      <c r="LO5" s="43">
        <f t="shared" si="14"/>
        <v>3</v>
      </c>
      <c r="LP5" s="43">
        <f t="shared" si="14"/>
        <v>4</v>
      </c>
      <c r="LQ5" s="43">
        <f t="shared" si="14"/>
        <v>5</v>
      </c>
      <c r="LR5" s="43">
        <f t="shared" si="14"/>
        <v>6</v>
      </c>
      <c r="LS5" s="43">
        <f t="shared" si="14"/>
        <v>7</v>
      </c>
      <c r="LT5" s="43">
        <f t="shared" si="14"/>
        <v>1</v>
      </c>
      <c r="LU5" s="43">
        <f t="shared" si="14"/>
        <v>2</v>
      </c>
      <c r="LV5" s="43">
        <f t="shared" si="14"/>
        <v>3</v>
      </c>
      <c r="LW5" s="43">
        <f t="shared" si="14"/>
        <v>4</v>
      </c>
      <c r="LX5" s="43">
        <f t="shared" si="14"/>
        <v>5</v>
      </c>
      <c r="LY5" s="44">
        <f t="shared" si="14"/>
        <v>6</v>
      </c>
      <c r="LZ5" s="42">
        <f t="shared" si="14"/>
        <v>7</v>
      </c>
      <c r="MA5" s="43">
        <f t="shared" si="14"/>
        <v>1</v>
      </c>
      <c r="MB5" s="43">
        <f t="shared" si="14"/>
        <v>2</v>
      </c>
      <c r="MC5" s="43">
        <f t="shared" si="14"/>
        <v>3</v>
      </c>
      <c r="MD5" s="43">
        <f t="shared" si="14"/>
        <v>4</v>
      </c>
      <c r="ME5" s="43">
        <f t="shared" si="14"/>
        <v>5</v>
      </c>
      <c r="MF5" s="43">
        <f t="shared" si="14"/>
        <v>6</v>
      </c>
      <c r="MG5" s="43">
        <f t="shared" si="14"/>
        <v>7</v>
      </c>
      <c r="MH5" s="43">
        <f t="shared" si="14"/>
        <v>1</v>
      </c>
      <c r="MI5" s="43">
        <f t="shared" si="14"/>
        <v>2</v>
      </c>
      <c r="MJ5" s="43">
        <f t="shared" si="14"/>
        <v>3</v>
      </c>
      <c r="MK5" s="43">
        <f t="shared" si="14"/>
        <v>4</v>
      </c>
      <c r="ML5" s="43">
        <f t="shared" si="14"/>
        <v>5</v>
      </c>
      <c r="MM5" s="43">
        <f t="shared" si="14"/>
        <v>6</v>
      </c>
      <c r="MN5" s="43">
        <f t="shared" si="14"/>
        <v>7</v>
      </c>
      <c r="MO5" s="43">
        <f t="shared" si="14"/>
        <v>1</v>
      </c>
      <c r="MP5" s="43">
        <f t="shared" si="14"/>
        <v>2</v>
      </c>
      <c r="MQ5" s="43">
        <f t="shared" ref="MQ5:OH5" si="15">WEEKDAY(MQ4,1)</f>
        <v>3</v>
      </c>
      <c r="MR5" s="43">
        <f t="shared" si="15"/>
        <v>4</v>
      </c>
      <c r="MS5" s="43">
        <f t="shared" si="15"/>
        <v>5</v>
      </c>
      <c r="MT5" s="43">
        <f t="shared" si="15"/>
        <v>6</v>
      </c>
      <c r="MU5" s="43">
        <f t="shared" si="15"/>
        <v>7</v>
      </c>
      <c r="MV5" s="43">
        <f t="shared" si="15"/>
        <v>1</v>
      </c>
      <c r="MW5" s="43">
        <f t="shared" si="15"/>
        <v>2</v>
      </c>
      <c r="MX5" s="43">
        <f t="shared" si="15"/>
        <v>3</v>
      </c>
      <c r="MY5" s="43">
        <f t="shared" si="15"/>
        <v>4</v>
      </c>
      <c r="MZ5" s="43">
        <f t="shared" si="15"/>
        <v>5</v>
      </c>
      <c r="NA5" s="43">
        <f t="shared" si="15"/>
        <v>6</v>
      </c>
      <c r="NB5" s="43">
        <f t="shared" si="15"/>
        <v>7</v>
      </c>
      <c r="NC5" s="44">
        <f t="shared" si="15"/>
        <v>1</v>
      </c>
      <c r="ND5" s="42">
        <f t="shared" si="15"/>
        <v>2</v>
      </c>
      <c r="NE5" s="43">
        <f t="shared" si="15"/>
        <v>3</v>
      </c>
      <c r="NF5" s="43">
        <f t="shared" si="15"/>
        <v>4</v>
      </c>
      <c r="NG5" s="43">
        <f t="shared" si="15"/>
        <v>5</v>
      </c>
      <c r="NH5" s="43">
        <f t="shared" si="15"/>
        <v>6</v>
      </c>
      <c r="NI5" s="43">
        <f t="shared" si="15"/>
        <v>7</v>
      </c>
      <c r="NJ5" s="43">
        <f t="shared" si="15"/>
        <v>1</v>
      </c>
      <c r="NK5" s="43">
        <f t="shared" si="15"/>
        <v>2</v>
      </c>
      <c r="NL5" s="43">
        <f t="shared" si="15"/>
        <v>3</v>
      </c>
      <c r="NM5" s="43">
        <f t="shared" si="15"/>
        <v>4</v>
      </c>
      <c r="NN5" s="43">
        <f t="shared" si="15"/>
        <v>5</v>
      </c>
      <c r="NO5" s="43">
        <f t="shared" si="15"/>
        <v>6</v>
      </c>
      <c r="NP5" s="43">
        <f t="shared" si="15"/>
        <v>7</v>
      </c>
      <c r="NQ5" s="43">
        <f t="shared" si="15"/>
        <v>1</v>
      </c>
      <c r="NR5" s="43">
        <f t="shared" si="15"/>
        <v>2</v>
      </c>
      <c r="NS5" s="43">
        <f t="shared" si="15"/>
        <v>3</v>
      </c>
      <c r="NT5" s="43">
        <f t="shared" si="15"/>
        <v>4</v>
      </c>
      <c r="NU5" s="43">
        <f t="shared" si="15"/>
        <v>5</v>
      </c>
      <c r="NV5" s="43">
        <f t="shared" si="15"/>
        <v>6</v>
      </c>
      <c r="NW5" s="43">
        <f t="shared" si="15"/>
        <v>7</v>
      </c>
      <c r="NX5" s="43">
        <f t="shared" si="15"/>
        <v>1</v>
      </c>
      <c r="NY5" s="43">
        <f t="shared" si="15"/>
        <v>2</v>
      </c>
      <c r="NZ5" s="43">
        <f t="shared" si="15"/>
        <v>3</v>
      </c>
      <c r="OA5" s="43">
        <f t="shared" si="15"/>
        <v>4</v>
      </c>
      <c r="OB5" s="43">
        <f t="shared" si="15"/>
        <v>5</v>
      </c>
      <c r="OC5" s="43">
        <f t="shared" si="15"/>
        <v>6</v>
      </c>
      <c r="OD5" s="43">
        <f t="shared" si="15"/>
        <v>7</v>
      </c>
      <c r="OE5" s="43">
        <f t="shared" si="15"/>
        <v>1</v>
      </c>
      <c r="OF5" s="43">
        <f t="shared" si="15"/>
        <v>2</v>
      </c>
      <c r="OG5" s="43">
        <f t="shared" si="15"/>
        <v>3</v>
      </c>
      <c r="OH5" s="44">
        <f t="shared" si="15"/>
        <v>4</v>
      </c>
    </row>
    <row r="6" spans="1:398" x14ac:dyDescent="0.3">
      <c r="A6" s="3">
        <f>_xlfn.AGGREGATE(3,5,$C$6:C6)</f>
        <v>1</v>
      </c>
      <c r="B6" s="3" t="s">
        <v>35</v>
      </c>
      <c r="C6" s="3" t="s">
        <v>36</v>
      </c>
      <c r="D6" s="8" t="s">
        <v>34</v>
      </c>
      <c r="E6" s="9">
        <v>43214</v>
      </c>
      <c r="F6" s="18">
        <f t="shared" ref="F6:F9" ca="1" si="16">IF(E6=0,0,IF($D$1&lt;E6,0,$D$1-E6+1))</f>
        <v>2884</v>
      </c>
      <c r="G6" s="19">
        <f t="shared" ref="G6:G9" ca="1" si="17">IF($E6=0,0,DATEDIF($E6-1,$D$1,"y"))</f>
        <v>7</v>
      </c>
      <c r="H6" s="20">
        <f t="shared" ref="H6:H9" ca="1" si="18">IF($E6=0,0,DATEDIF($E6-1,$D$1,"ym"))</f>
        <v>10</v>
      </c>
      <c r="I6" s="18">
        <f t="shared" ref="I6:I9" ca="1" si="19">IF($E6=0,0,DATEDIF($E6-1,$D$1,"md"))</f>
        <v>21</v>
      </c>
      <c r="J6" s="21">
        <f t="shared" ref="J6:J9" ca="1" si="20">IF(J$5-YEAR($E6)=1,15,0)</f>
        <v>0</v>
      </c>
      <c r="K6" s="22">
        <f t="shared" ref="K6:K7" ca="1" si="21">IF(F6&gt;365,15,0)</f>
        <v>15</v>
      </c>
      <c r="L6" s="22">
        <f t="shared" ref="L6:L9" ca="1" si="22">IF(E6=0,0,TRUNC((DATEDIF(E6,$D$1,"y")-1)/2))</f>
        <v>3</v>
      </c>
      <c r="M6" s="22">
        <v>0</v>
      </c>
      <c r="N6" s="22">
        <f t="shared" ref="N6:N9" ca="1" si="23">SUM(J6:L6,M6)</f>
        <v>18</v>
      </c>
      <c r="O6" s="22">
        <v>0</v>
      </c>
      <c r="P6" s="22">
        <v>0</v>
      </c>
      <c r="Q6" s="22">
        <f ca="1">IF(F6&lt;730,(J6+M6)-(O6+P6),0)</f>
        <v>0</v>
      </c>
      <c r="R6" s="22">
        <f ca="1">N6-O6-P6</f>
        <v>18</v>
      </c>
      <c r="S6" s="31">
        <f t="shared" ref="S6:S9" si="24">COUNTIF($AH6:$BL6,"연")+(COUNTIF($AH6:$BL6,"반")*0.5)</f>
        <v>0</v>
      </c>
      <c r="T6" s="31">
        <f>COUNTIF($BM6:$CN6,"연")+(COUNTIF($BM6:$CN6,"반")*0.5)</f>
        <v>0</v>
      </c>
      <c r="U6" s="31">
        <f>COUNTIF($CO6:$DS6,"연")+(COUNTIF($CO6:$DS6,"반")*0.5)</f>
        <v>0.5</v>
      </c>
      <c r="V6" s="31">
        <f t="shared" ref="V6:V9" si="25">COUNTIF($DT6:$EW6,"연")+(COUNTIF($DT6:$EW6,"반")*0.5)</f>
        <v>0</v>
      </c>
      <c r="W6" s="31">
        <f t="shared" ref="W6:W9" si="26">COUNTIF($EX6:$GB6,"연")+(COUNTIF($EX6:$GB6,"반")*0.5)</f>
        <v>0</v>
      </c>
      <c r="X6" s="31">
        <f t="shared" ref="X6:X9" si="27">COUNTIF($GC6:$HF6,"연")+(COUNTIF($GC6:$HF6,"반")*0.5)</f>
        <v>0</v>
      </c>
      <c r="Y6" s="31">
        <f t="shared" ref="Y6:Y9" si="28">COUNTIF($HG6:$IK6,"연")+(COUNTIF($HG6:$IK6,"반")*0.5)</f>
        <v>0</v>
      </c>
      <c r="Z6" s="31">
        <f>COUNTIF($IL6:$JP6,"연")+(COUNTIF($IL6:$JP6,"반")*0.5)</f>
        <v>0</v>
      </c>
      <c r="AA6" s="31">
        <f>COUNTIF($JQ6:$KT6,"연")+(COUNTIF($JQ6:$KT6,"반")*0.5)</f>
        <v>0</v>
      </c>
      <c r="AB6" s="31">
        <f>COUNTIF($KU6:$LY6,"연")+(COUNTIF($KU6:$LY6,"반")*0.5)</f>
        <v>0</v>
      </c>
      <c r="AC6" s="31">
        <f t="shared" ref="AC6:AC9" si="29">COUNTIF($LZ6:$NC6,"연")+(COUNTIF($LZ6:$NC6,"반")*0.5)</f>
        <v>0</v>
      </c>
      <c r="AD6" s="31">
        <f t="shared" ref="AD6:AD9" si="30">COUNTIF($ND6:$OH6,"연")+(COUNTIF($ND6:$OH6,"반")*0.5)</f>
        <v>0</v>
      </c>
      <c r="AE6" s="22">
        <f t="shared" ref="AE6:AE9" si="31">SUM(IF(MOD(COLUMN($S6:$AD6),3)=1,$S6:$AD6))</f>
        <v>0.5</v>
      </c>
      <c r="AF6" s="22">
        <f t="shared" ref="AF6:AF7" ca="1" si="32">R6-AE6</f>
        <v>17.5</v>
      </c>
      <c r="AG6" s="23">
        <f t="shared" ref="AG6:AG9" ca="1" si="33">IFERROR(AE6/R6,0)</f>
        <v>2.7777777777777776E-2</v>
      </c>
      <c r="AH6" s="35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7"/>
      <c r="BM6" s="35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7"/>
      <c r="CO6" s="35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 t="s">
        <v>56</v>
      </c>
      <c r="DL6" s="36"/>
      <c r="DM6" s="36"/>
      <c r="DN6" s="36"/>
      <c r="DO6" s="36"/>
      <c r="DP6" s="36"/>
      <c r="DQ6" s="36"/>
      <c r="DR6" s="36"/>
      <c r="DS6" s="37"/>
      <c r="DT6" s="35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7"/>
      <c r="EX6" s="35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7"/>
      <c r="GC6" s="35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7"/>
      <c r="HG6" s="35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7"/>
      <c r="IL6" s="35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7"/>
      <c r="JQ6" s="35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7"/>
      <c r="KU6" s="35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7"/>
      <c r="LZ6" s="35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7"/>
      <c r="ND6" s="35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7"/>
    </row>
    <row r="7" spans="1:398" x14ac:dyDescent="0.3">
      <c r="A7" s="3">
        <f>_xlfn.AGGREGATE(3,5,$C$6:C7)</f>
        <v>2</v>
      </c>
      <c r="B7" s="3" t="s">
        <v>37</v>
      </c>
      <c r="C7" s="3" t="s">
        <v>38</v>
      </c>
      <c r="D7" s="8" t="s">
        <v>34</v>
      </c>
      <c r="E7" s="9">
        <v>44361</v>
      </c>
      <c r="F7" s="18">
        <f t="shared" ca="1" si="16"/>
        <v>1737</v>
      </c>
      <c r="G7" s="19">
        <f t="shared" ca="1" si="17"/>
        <v>4</v>
      </c>
      <c r="H7" s="20">
        <f t="shared" ca="1" si="18"/>
        <v>9</v>
      </c>
      <c r="I7" s="18">
        <f t="shared" ca="1" si="19"/>
        <v>3</v>
      </c>
      <c r="J7" s="21">
        <f t="shared" ca="1" si="20"/>
        <v>0</v>
      </c>
      <c r="K7" s="22">
        <f t="shared" ca="1" si="21"/>
        <v>15</v>
      </c>
      <c r="L7" s="22">
        <f ca="1">IF(E7=0,0,TRUNC((DATEDIF(E7,$D$1,"y")-1)/2))</f>
        <v>1</v>
      </c>
      <c r="M7" s="22">
        <v>0</v>
      </c>
      <c r="N7" s="22">
        <f t="shared" ca="1" si="23"/>
        <v>16</v>
      </c>
      <c r="O7" s="22">
        <v>0</v>
      </c>
      <c r="P7" s="22">
        <v>0</v>
      </c>
      <c r="Q7" s="22">
        <f ca="1">IF(F7&lt;730,(J7+M7)-(O7+P7),0)</f>
        <v>0</v>
      </c>
      <c r="R7" s="22">
        <f ca="1">N7-O7-P7</f>
        <v>16</v>
      </c>
      <c r="S7" s="31">
        <f t="shared" si="24"/>
        <v>1</v>
      </c>
      <c r="T7" s="31">
        <f>COUNTIF($BM7:$CN7,"연")+(COUNTIF($BM7:$CN7,"반")*0.5)</f>
        <v>0</v>
      </c>
      <c r="U7" s="31">
        <f t="shared" ref="U7:U9" si="34">COUNTIF($CO7:$DS7,"연")+(COUNTIF($CO7:$DS7,"반")*0.5)</f>
        <v>0</v>
      </c>
      <c r="V7" s="31">
        <f t="shared" si="25"/>
        <v>0</v>
      </c>
      <c r="W7" s="31">
        <f t="shared" si="26"/>
        <v>0</v>
      </c>
      <c r="X7" s="31">
        <f t="shared" si="27"/>
        <v>0</v>
      </c>
      <c r="Y7" s="31">
        <f t="shared" si="28"/>
        <v>0</v>
      </c>
      <c r="Z7" s="31">
        <f t="shared" ref="Z7:Z9" si="35">COUNTIF($IL7:$JP7,"연")+(COUNTIF($IL7:$JP7,"반")*0.5)</f>
        <v>0</v>
      </c>
      <c r="AA7" s="31">
        <f t="shared" ref="AA7:AA9" si="36">COUNTIF($JQ7:$KT7,"연")+(COUNTIF($JQ7:$KT7,"반")*0.5)</f>
        <v>0</v>
      </c>
      <c r="AB7" s="31">
        <f t="shared" ref="AB7:AB9" si="37">COUNTIF($KU7:$LY7,"연")+(COUNTIF($KU7:$LY7,"반")*0.5)</f>
        <v>0</v>
      </c>
      <c r="AC7" s="31">
        <f t="shared" si="29"/>
        <v>0</v>
      </c>
      <c r="AD7" s="31">
        <f t="shared" si="30"/>
        <v>0</v>
      </c>
      <c r="AE7" s="22">
        <f t="shared" si="31"/>
        <v>1</v>
      </c>
      <c r="AF7" s="22">
        <f t="shared" ca="1" si="32"/>
        <v>15</v>
      </c>
      <c r="AG7" s="23">
        <f t="shared" ca="1" si="33"/>
        <v>6.25E-2</v>
      </c>
      <c r="AH7" s="35"/>
      <c r="AI7" s="36"/>
      <c r="AJ7" s="36"/>
      <c r="AK7" s="36"/>
      <c r="AL7" s="36"/>
      <c r="AM7" s="36"/>
      <c r="AN7" s="36" t="s">
        <v>47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7"/>
      <c r="BM7" s="35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7"/>
      <c r="CO7" s="35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7"/>
      <c r="DT7" s="35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7"/>
      <c r="EX7" s="35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7"/>
      <c r="GC7" s="35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7"/>
      <c r="HG7" s="35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7"/>
      <c r="IL7" s="35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7"/>
      <c r="JQ7" s="35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7"/>
      <c r="KU7" s="35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7"/>
      <c r="LZ7" s="35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7"/>
      <c r="ND7" s="35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7"/>
    </row>
    <row r="8" spans="1:398" x14ac:dyDescent="0.3">
      <c r="A8" s="3">
        <f>_xlfn.AGGREGATE(3,5,$C$6:C8)</f>
        <v>3</v>
      </c>
      <c r="B8" s="3" t="s">
        <v>39</v>
      </c>
      <c r="C8" s="3" t="s">
        <v>40</v>
      </c>
      <c r="D8" s="8" t="s">
        <v>34</v>
      </c>
      <c r="E8" s="9">
        <v>44691</v>
      </c>
      <c r="F8" s="18">
        <f t="shared" ca="1" si="16"/>
        <v>1407</v>
      </c>
      <c r="G8" s="19">
        <f t="shared" ca="1" si="17"/>
        <v>3</v>
      </c>
      <c r="H8" s="20">
        <f t="shared" ca="1" si="18"/>
        <v>10</v>
      </c>
      <c r="I8" s="18">
        <f t="shared" ca="1" si="19"/>
        <v>7</v>
      </c>
      <c r="J8" s="21">
        <f t="shared" ca="1" si="20"/>
        <v>0</v>
      </c>
      <c r="K8" s="22">
        <f ca="1">IF(F8&gt;365,15,0)</f>
        <v>15</v>
      </c>
      <c r="L8" s="22">
        <f t="shared" ca="1" si="22"/>
        <v>1</v>
      </c>
      <c r="M8" s="22">
        <v>0</v>
      </c>
      <c r="N8" s="22">
        <f t="shared" ca="1" si="23"/>
        <v>16</v>
      </c>
      <c r="O8" s="22">
        <v>0</v>
      </c>
      <c r="P8" s="22">
        <v>0</v>
      </c>
      <c r="Q8" s="22">
        <f t="shared" ref="Q8:Q9" ca="1" si="38">IF(F8&lt;730,(J8+M8)-(O8+P8),0)</f>
        <v>0</v>
      </c>
      <c r="R8" s="22">
        <f ca="1">N8-O8-P8</f>
        <v>16</v>
      </c>
      <c r="S8" s="31">
        <f t="shared" si="24"/>
        <v>2</v>
      </c>
      <c r="T8" s="31">
        <f>COUNTIF($BM8:$CN8,"연")+(COUNTIF($BM8:$CN8,"반")*0.5)</f>
        <v>0</v>
      </c>
      <c r="U8" s="31">
        <f t="shared" si="34"/>
        <v>1</v>
      </c>
      <c r="V8" s="31">
        <f t="shared" si="25"/>
        <v>0</v>
      </c>
      <c r="W8" s="31">
        <f t="shared" si="26"/>
        <v>0</v>
      </c>
      <c r="X8" s="31">
        <f t="shared" si="27"/>
        <v>0</v>
      </c>
      <c r="Y8" s="31">
        <f t="shared" si="28"/>
        <v>0</v>
      </c>
      <c r="Z8" s="31">
        <f t="shared" si="35"/>
        <v>0</v>
      </c>
      <c r="AA8" s="31">
        <f t="shared" si="36"/>
        <v>0</v>
      </c>
      <c r="AB8" s="31">
        <f t="shared" si="37"/>
        <v>0</v>
      </c>
      <c r="AC8" s="31">
        <f t="shared" si="29"/>
        <v>0</v>
      </c>
      <c r="AD8" s="31">
        <f t="shared" si="30"/>
        <v>0</v>
      </c>
      <c r="AE8" s="22">
        <f t="shared" si="31"/>
        <v>3</v>
      </c>
      <c r="AF8" s="22">
        <f ca="1">R8-AE8</f>
        <v>13</v>
      </c>
      <c r="AG8" s="23">
        <f t="shared" ca="1" si="33"/>
        <v>0.1875</v>
      </c>
      <c r="AH8" s="35"/>
      <c r="AI8" s="36"/>
      <c r="AJ8" s="36"/>
      <c r="AK8" s="36"/>
      <c r="AL8" s="36"/>
      <c r="AM8" s="36"/>
      <c r="AN8" s="36"/>
      <c r="AO8" s="36" t="s">
        <v>44</v>
      </c>
      <c r="AP8" s="36"/>
      <c r="AQ8" s="36"/>
      <c r="AR8" s="36"/>
      <c r="AS8" s="36"/>
      <c r="AT8" s="36"/>
      <c r="AU8" s="36"/>
      <c r="AV8" s="36"/>
      <c r="AW8" s="36" t="s">
        <v>45</v>
      </c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7"/>
      <c r="BM8" s="35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7"/>
      <c r="CO8" s="35"/>
      <c r="CP8" s="36"/>
      <c r="CQ8" s="36"/>
      <c r="CR8" s="36"/>
      <c r="CS8" s="36"/>
      <c r="CT8" s="36"/>
      <c r="CU8" s="36"/>
      <c r="CV8" s="36"/>
      <c r="CW8" s="36"/>
      <c r="CX8" s="36"/>
      <c r="CY8" s="36" t="s">
        <v>46</v>
      </c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7"/>
      <c r="DT8" s="35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7"/>
      <c r="EX8" s="35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7"/>
      <c r="GC8" s="35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7"/>
      <c r="HG8" s="35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7"/>
      <c r="IL8" s="35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7"/>
      <c r="JQ8" s="35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7"/>
      <c r="KU8" s="35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7"/>
      <c r="LZ8" s="35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7"/>
      <c r="ND8" s="35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7"/>
    </row>
    <row r="9" spans="1:398" x14ac:dyDescent="0.3">
      <c r="A9" s="3">
        <f>_xlfn.AGGREGATE(3,5,$C$6:C9)</f>
        <v>4</v>
      </c>
      <c r="B9" s="41" t="s">
        <v>43</v>
      </c>
      <c r="C9" s="3" t="s">
        <v>41</v>
      </c>
      <c r="D9" s="8" t="s">
        <v>34</v>
      </c>
      <c r="E9" s="9">
        <v>45124</v>
      </c>
      <c r="F9" s="18">
        <f t="shared" ca="1" si="16"/>
        <v>974</v>
      </c>
      <c r="G9" s="19">
        <f t="shared" ca="1" si="17"/>
        <v>2</v>
      </c>
      <c r="H9" s="20">
        <f t="shared" ca="1" si="18"/>
        <v>8</v>
      </c>
      <c r="I9" s="18">
        <f t="shared" ca="1" si="19"/>
        <v>0</v>
      </c>
      <c r="J9" s="21">
        <f t="shared" ca="1" si="20"/>
        <v>0</v>
      </c>
      <c r="K9" s="22">
        <f ca="1">IF(F9&gt;365,15,0)</f>
        <v>15</v>
      </c>
      <c r="L9" s="22">
        <f t="shared" ca="1" si="22"/>
        <v>0</v>
      </c>
      <c r="M9" s="22">
        <v>0</v>
      </c>
      <c r="N9" s="22">
        <f t="shared" ca="1" si="23"/>
        <v>15</v>
      </c>
      <c r="O9" s="22">
        <v>2</v>
      </c>
      <c r="P9" s="22">
        <v>7</v>
      </c>
      <c r="Q9" s="22">
        <f t="shared" ca="1" si="38"/>
        <v>0</v>
      </c>
      <c r="R9" s="22">
        <f ca="1">N9-O9-P9</f>
        <v>6</v>
      </c>
      <c r="S9" s="31">
        <f t="shared" si="24"/>
        <v>0</v>
      </c>
      <c r="T9" s="31">
        <f>COUNTIF($BM9:$CN9,"연")+(COUNTIF($BM9:$CN9,"반")*0.5)</f>
        <v>0</v>
      </c>
      <c r="U9" s="31">
        <f t="shared" si="34"/>
        <v>1</v>
      </c>
      <c r="V9" s="31">
        <f t="shared" si="25"/>
        <v>0</v>
      </c>
      <c r="W9" s="31">
        <f t="shared" si="26"/>
        <v>0</v>
      </c>
      <c r="X9" s="31">
        <f t="shared" si="27"/>
        <v>0</v>
      </c>
      <c r="Y9" s="31">
        <f t="shared" si="28"/>
        <v>0</v>
      </c>
      <c r="Z9" s="31">
        <f t="shared" si="35"/>
        <v>0</v>
      </c>
      <c r="AA9" s="31">
        <f t="shared" si="36"/>
        <v>0</v>
      </c>
      <c r="AB9" s="31">
        <f t="shared" si="37"/>
        <v>0</v>
      </c>
      <c r="AC9" s="31">
        <f t="shared" si="29"/>
        <v>0</v>
      </c>
      <c r="AD9" s="31">
        <f t="shared" si="30"/>
        <v>0</v>
      </c>
      <c r="AE9" s="22">
        <f t="shared" si="31"/>
        <v>1</v>
      </c>
      <c r="AF9" s="22">
        <f ca="1">R9-AE9</f>
        <v>5</v>
      </c>
      <c r="AG9" s="23">
        <f t="shared" ca="1" si="33"/>
        <v>0.16666666666666666</v>
      </c>
      <c r="AH9" s="35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7"/>
      <c r="BM9" s="35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7"/>
      <c r="CO9" s="35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 t="s">
        <v>57</v>
      </c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7"/>
      <c r="DT9" s="35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7"/>
      <c r="EX9" s="35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7"/>
      <c r="GC9" s="35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7"/>
      <c r="HG9" s="35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7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7"/>
      <c r="JQ9" s="35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7"/>
      <c r="KU9" s="35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7"/>
      <c r="LZ9" s="35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7"/>
      <c r="ND9" s="35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7"/>
    </row>
    <row r="10" spans="1:398" s="3" customFormat="1" ht="16.5" customHeight="1" x14ac:dyDescent="0.3">
      <c r="A10" s="24"/>
      <c r="B10" s="25"/>
      <c r="C10" s="25"/>
      <c r="D10" s="25"/>
      <c r="E10" s="25"/>
      <c r="F10" s="25"/>
      <c r="G10" s="25"/>
      <c r="H10" s="25"/>
      <c r="I10" s="25"/>
      <c r="J10" s="26"/>
      <c r="K10" s="27"/>
      <c r="L10" s="27"/>
      <c r="M10" s="27"/>
      <c r="N10" s="27"/>
      <c r="O10" s="27"/>
      <c r="P10" s="27"/>
      <c r="Q10" s="27"/>
      <c r="R10" s="27">
        <f t="shared" ref="R10:AF10" ca="1" si="39">SUM(R6:R9)</f>
        <v>56</v>
      </c>
      <c r="S10" s="27">
        <f t="shared" si="39"/>
        <v>3</v>
      </c>
      <c r="T10" s="27">
        <f t="shared" si="39"/>
        <v>0</v>
      </c>
      <c r="U10" s="27">
        <f t="shared" si="39"/>
        <v>2.5</v>
      </c>
      <c r="V10" s="27">
        <f t="shared" si="39"/>
        <v>0</v>
      </c>
      <c r="W10" s="27">
        <f t="shared" si="39"/>
        <v>0</v>
      </c>
      <c r="X10" s="27">
        <f t="shared" si="39"/>
        <v>0</v>
      </c>
      <c r="Y10" s="27">
        <f t="shared" si="39"/>
        <v>0</v>
      </c>
      <c r="Z10" s="27">
        <f t="shared" si="39"/>
        <v>0</v>
      </c>
      <c r="AA10" s="27">
        <f t="shared" si="39"/>
        <v>0</v>
      </c>
      <c r="AB10" s="27">
        <f t="shared" si="39"/>
        <v>0</v>
      </c>
      <c r="AC10" s="27">
        <f t="shared" si="39"/>
        <v>0</v>
      </c>
      <c r="AD10" s="27">
        <f t="shared" si="39"/>
        <v>0</v>
      </c>
      <c r="AE10" s="27">
        <f t="shared" si="39"/>
        <v>5.5</v>
      </c>
      <c r="AF10" s="27">
        <f t="shared" ca="1" si="39"/>
        <v>50.5</v>
      </c>
      <c r="AG10" s="30">
        <f ca="1">AE10/R10</f>
        <v>9.8214285714285712E-2</v>
      </c>
      <c r="AH10" s="38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40"/>
      <c r="BM10" s="38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40"/>
      <c r="CO10" s="38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40"/>
      <c r="DT10" s="38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40"/>
      <c r="EX10" s="38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40"/>
      <c r="GC10" s="38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40"/>
      <c r="HG10" s="38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40"/>
      <c r="IL10" s="38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40"/>
      <c r="JQ10" s="38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40"/>
      <c r="KU10" s="38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40"/>
      <c r="LZ10" s="38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40"/>
      <c r="ND10" s="38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40"/>
    </row>
  </sheetData>
  <mergeCells count="22">
    <mergeCell ref="ND3:OH3"/>
    <mergeCell ref="AH3:BL3"/>
    <mergeCell ref="BM3:CN3"/>
    <mergeCell ref="CO3:DS3"/>
    <mergeCell ref="DT3:EW3"/>
    <mergeCell ref="EX3:GB3"/>
    <mergeCell ref="GC3:HF3"/>
    <mergeCell ref="HG3:IK3"/>
    <mergeCell ref="IL3:JP3"/>
    <mergeCell ref="JQ3:KT3"/>
    <mergeCell ref="KU3:LY3"/>
    <mergeCell ref="LZ3:NC3"/>
    <mergeCell ref="J4:M4"/>
    <mergeCell ref="N4:N5"/>
    <mergeCell ref="O4:P4"/>
    <mergeCell ref="S4:AG4"/>
    <mergeCell ref="A4:A5"/>
    <mergeCell ref="B4:B5"/>
    <mergeCell ref="C4:C5"/>
    <mergeCell ref="D4:D5"/>
    <mergeCell ref="E4:E5"/>
    <mergeCell ref="F4:I4"/>
  </mergeCells>
  <phoneticPr fontId="4" type="noConversion"/>
  <conditionalFormatting sqref="N4:O4 F4:J4 R4:AG4 F3:AG3 F10:AG1048576 E2:AF2 E1:AD1 F5:AG5 AE6:AG9 F6:R9">
    <cfRule type="cellIs" dxfId="9" priority="11" operator="equal">
      <formula>0%</formula>
    </cfRule>
  </conditionalFormatting>
  <conditionalFormatting sqref="AG6:AG190">
    <cfRule type="cellIs" dxfId="8" priority="10" operator="greaterThan">
      <formula>1</formula>
    </cfRule>
  </conditionalFormatting>
  <conditionalFormatting sqref="AH6:OH10">
    <cfRule type="expression" dxfId="7" priority="8">
      <formula>AH6="반"</formula>
    </cfRule>
    <cfRule type="expression" dxfId="6" priority="9">
      <formula>AH6="연"</formula>
    </cfRule>
  </conditionalFormatting>
  <conditionalFormatting sqref="S6:AD9">
    <cfRule type="expression" dxfId="5" priority="7">
      <formula>$I6="초과"</formula>
    </cfRule>
  </conditionalFormatting>
  <conditionalFormatting sqref="S6:AD9">
    <cfRule type="expression" dxfId="4" priority="5">
      <formula>S6=0</formula>
    </cfRule>
    <cfRule type="expression" dxfId="3" priority="6">
      <formula>S6&gt;0.1</formula>
    </cfRule>
  </conditionalFormatting>
  <conditionalFormatting sqref="AH4:OH10">
    <cfRule type="expression" dxfId="2" priority="23">
      <formula>#REF!=3</formula>
    </cfRule>
    <cfRule type="expression" dxfId="1" priority="24">
      <formula>#REF!=2</formula>
    </cfRule>
    <cfRule type="expression" dxfId="0" priority="25">
      <formula>#REF!=1</formula>
    </cfRule>
  </conditionalFormatting>
  <pageMargins left="0.7" right="0.7" top="0.75" bottom="0.75" header="0.3" footer="0.3"/>
  <pageSetup paperSize="9" orientation="portrait" r:id="rId1"/>
  <ignoredErrors>
    <ignoredError sqref="B6:B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방재팀 (2026)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cms2</cp:lastModifiedBy>
  <dcterms:created xsi:type="dcterms:W3CDTF">2022-11-16T00:24:26Z</dcterms:created>
  <dcterms:modified xsi:type="dcterms:W3CDTF">2026-03-15T23:53:34Z</dcterms:modified>
</cp:coreProperties>
</file>