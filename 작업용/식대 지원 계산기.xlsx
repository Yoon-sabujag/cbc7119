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645" yWindow="495" windowWidth="15600" windowHeight="11760"/>
  </bookViews>
  <sheets>
    <sheet name="데이터 입력" sheetId="2" r:id="rId1"/>
    <sheet name="식대 지원 계산" sheetId="1" r:id="rId2"/>
    <sheet name="참고.공휴일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" i="2" l="1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D2" i="1" l="1"/>
  <c r="B11" i="2"/>
  <c r="D11" i="2" s="1"/>
  <c r="C6" i="1"/>
  <c r="C11" i="1" l="1"/>
  <c r="C7" i="1"/>
  <c r="D6" i="1"/>
  <c r="B12" i="2"/>
  <c r="D12" i="2" s="1"/>
  <c r="C11" i="2"/>
  <c r="D11" i="1" l="1"/>
  <c r="C8" i="1"/>
  <c r="C9" i="1" s="1"/>
  <c r="C10" i="1" s="1"/>
  <c r="B13" i="2"/>
  <c r="D13" i="2" s="1"/>
  <c r="C12" i="2"/>
  <c r="E12" i="2" s="1"/>
  <c r="D7" i="1" s="1"/>
  <c r="E6" i="1"/>
  <c r="C13" i="1"/>
  <c r="C18" i="1" l="1"/>
  <c r="E11" i="1"/>
  <c r="D8" i="1"/>
  <c r="D9" i="1" s="1"/>
  <c r="D10" i="1" s="1"/>
  <c r="B14" i="2"/>
  <c r="D14" i="2" s="1"/>
  <c r="C13" i="2"/>
  <c r="E13" i="2" s="1"/>
  <c r="E7" i="1" s="1"/>
  <c r="C12" i="1"/>
  <c r="F6" i="1"/>
  <c r="C20" i="1"/>
  <c r="F11" i="1" l="1"/>
  <c r="E8" i="1"/>
  <c r="E9" i="1" s="1"/>
  <c r="D12" i="1"/>
  <c r="B15" i="2"/>
  <c r="D15" i="2" s="1"/>
  <c r="C14" i="2"/>
  <c r="E14" i="2" s="1"/>
  <c r="F7" i="1" s="1"/>
  <c r="C25" i="1"/>
  <c r="C27" i="1"/>
  <c r="G6" i="1"/>
  <c r="D20" i="1"/>
  <c r="D13" i="1"/>
  <c r="D18" i="1" l="1"/>
  <c r="G11" i="1"/>
  <c r="F8" i="1"/>
  <c r="F9" i="1" s="1"/>
  <c r="F10" i="1" s="1"/>
  <c r="B16" i="2"/>
  <c r="C15" i="2"/>
  <c r="E15" i="2" s="1"/>
  <c r="G7" i="1" s="1"/>
  <c r="C32" i="1"/>
  <c r="D25" i="1"/>
  <c r="E10" i="1"/>
  <c r="E12" i="1" s="1"/>
  <c r="C34" i="1"/>
  <c r="D27" i="1"/>
  <c r="E20" i="1"/>
  <c r="E13" i="1"/>
  <c r="D16" i="2" l="1"/>
  <c r="E18" i="1"/>
  <c r="G8" i="1"/>
  <c r="G9" i="1" s="1"/>
  <c r="G10" i="1" s="1"/>
  <c r="B17" i="2"/>
  <c r="C16" i="2"/>
  <c r="C39" i="1"/>
  <c r="D32" i="1"/>
  <c r="E25" i="1"/>
  <c r="F12" i="1"/>
  <c r="E27" i="1"/>
  <c r="D34" i="1"/>
  <c r="F20" i="1"/>
  <c r="F13" i="1"/>
  <c r="D17" i="2" l="1"/>
  <c r="E16" i="2"/>
  <c r="F18" i="1"/>
  <c r="B18" i="2"/>
  <c r="C17" i="2"/>
  <c r="E34" i="1"/>
  <c r="D39" i="1"/>
  <c r="E32" i="1"/>
  <c r="F25" i="1"/>
  <c r="F27" i="1"/>
  <c r="G20" i="1"/>
  <c r="H6" i="1"/>
  <c r="G13" i="1"/>
  <c r="E17" i="2" l="1"/>
  <c r="D18" i="2"/>
  <c r="G18" i="1"/>
  <c r="H11" i="1"/>
  <c r="H7" i="1"/>
  <c r="H8" i="1" s="1"/>
  <c r="F34" i="1"/>
  <c r="B19" i="2"/>
  <c r="C18" i="2"/>
  <c r="E39" i="1"/>
  <c r="F32" i="1"/>
  <c r="G25" i="1"/>
  <c r="G27" i="1"/>
  <c r="H20" i="1"/>
  <c r="I6" i="1"/>
  <c r="H13" i="1"/>
  <c r="F39" i="1" l="1"/>
  <c r="E18" i="2"/>
  <c r="H18" i="1"/>
  <c r="D19" i="2"/>
  <c r="I11" i="1"/>
  <c r="J11" i="1" s="1"/>
  <c r="I7" i="1"/>
  <c r="I8" i="1" s="1"/>
  <c r="G34" i="1"/>
  <c r="B20" i="2"/>
  <c r="C19" i="2"/>
  <c r="G32" i="1"/>
  <c r="H25" i="1"/>
  <c r="H9" i="1"/>
  <c r="H10" i="1" s="1"/>
  <c r="H27" i="1"/>
  <c r="I20" i="1"/>
  <c r="G12" i="1"/>
  <c r="I13" i="1"/>
  <c r="E19" i="2" l="1"/>
  <c r="D14" i="1" s="1"/>
  <c r="G39" i="1"/>
  <c r="I18" i="1"/>
  <c r="J18" i="1" s="1"/>
  <c r="D20" i="2"/>
  <c r="H34" i="1"/>
  <c r="I27" i="1"/>
  <c r="B21" i="2"/>
  <c r="C20" i="2"/>
  <c r="H32" i="1"/>
  <c r="I25" i="1"/>
  <c r="J25" i="1" s="1"/>
  <c r="I9" i="1"/>
  <c r="I10" i="1" s="1"/>
  <c r="H12" i="1"/>
  <c r="J8" i="1"/>
  <c r="I34" i="1" l="1"/>
  <c r="I39" i="1" s="1"/>
  <c r="I32" i="1"/>
  <c r="J32" i="1" s="1"/>
  <c r="D21" i="2"/>
  <c r="E20" i="2"/>
  <c r="E14" i="1" s="1"/>
  <c r="H39" i="1"/>
  <c r="B22" i="2"/>
  <c r="C21" i="2"/>
  <c r="J9" i="1"/>
  <c r="J10" i="1"/>
  <c r="D22" i="2" l="1"/>
  <c r="E21" i="2"/>
  <c r="B23" i="2"/>
  <c r="C22" i="2"/>
  <c r="J12" i="1"/>
  <c r="J39" i="1"/>
  <c r="I12" i="1"/>
  <c r="D23" i="2" l="1"/>
  <c r="E22" i="2"/>
  <c r="G14" i="1" s="1"/>
  <c r="B24" i="2"/>
  <c r="C23" i="2"/>
  <c r="E23" i="2" l="1"/>
  <c r="H14" i="1" s="1"/>
  <c r="D24" i="2"/>
  <c r="B25" i="2"/>
  <c r="C24" i="2"/>
  <c r="E24" i="2" l="1"/>
  <c r="I14" i="1" s="1"/>
  <c r="D25" i="2"/>
  <c r="B26" i="2"/>
  <c r="D26" i="2" s="1"/>
  <c r="C25" i="2"/>
  <c r="E25" i="2" l="1"/>
  <c r="B27" i="2"/>
  <c r="C26" i="2"/>
  <c r="E26" i="2" l="1"/>
  <c r="D27" i="2"/>
  <c r="B28" i="2"/>
  <c r="D28" i="2" s="1"/>
  <c r="C27" i="2"/>
  <c r="E27" i="2" s="1"/>
  <c r="B29" i="2" l="1"/>
  <c r="C28" i="2"/>
  <c r="E28" i="2" s="1"/>
  <c r="D29" i="2" l="1"/>
  <c r="B30" i="2"/>
  <c r="D30" i="2" s="1"/>
  <c r="C29" i="2"/>
  <c r="E29" i="2" s="1"/>
  <c r="B31" i="2" l="1"/>
  <c r="D31" i="2" s="1"/>
  <c r="C30" i="2"/>
  <c r="E30" i="2" s="1"/>
  <c r="B32" i="2" l="1"/>
  <c r="D32" i="2" s="1"/>
  <c r="C31" i="2"/>
  <c r="E31" i="2" s="1"/>
  <c r="B33" i="2" l="1"/>
  <c r="D33" i="2" s="1"/>
  <c r="C32" i="2"/>
  <c r="E32" i="2" s="1"/>
  <c r="B34" i="2" l="1"/>
  <c r="D34" i="2" s="1"/>
  <c r="C33" i="2"/>
  <c r="E33" i="2" s="1"/>
  <c r="B35" i="2" l="1"/>
  <c r="D35" i="2" s="1"/>
  <c r="C34" i="2"/>
  <c r="E34" i="2" s="1"/>
  <c r="B36" i="2" l="1"/>
  <c r="D36" i="2" s="1"/>
  <c r="C35" i="2"/>
  <c r="E35" i="2" s="1"/>
  <c r="B37" i="2" l="1"/>
  <c r="D37" i="2" s="1"/>
  <c r="C36" i="2"/>
  <c r="E36" i="2" s="1"/>
  <c r="B38" i="2" l="1"/>
  <c r="D38" i="2" s="1"/>
  <c r="C37" i="2"/>
  <c r="E37" i="2" s="1"/>
  <c r="B39" i="2" l="1"/>
  <c r="D39" i="2" s="1"/>
  <c r="C38" i="2"/>
  <c r="E38" i="2" s="1"/>
  <c r="B40" i="2" l="1"/>
  <c r="D40" i="2" s="1"/>
  <c r="C39" i="2"/>
  <c r="E39" i="2" s="1"/>
  <c r="B41" i="2" l="1"/>
  <c r="D41" i="2" s="1"/>
  <c r="C40" i="2"/>
  <c r="E40" i="2" s="1"/>
  <c r="C41" i="2" l="1"/>
  <c r="E41" i="2" s="1"/>
  <c r="D35" i="1" l="1"/>
  <c r="C35" i="1"/>
  <c r="E35" i="1"/>
  <c r="E36" i="1" s="1"/>
  <c r="E37" i="1" s="1"/>
  <c r="E38" i="1" s="1"/>
  <c r="E40" i="1" s="1"/>
  <c r="F35" i="1"/>
  <c r="F36" i="1" s="1"/>
  <c r="F37" i="1" s="1"/>
  <c r="G35" i="1"/>
  <c r="G36" i="1" s="1"/>
  <c r="G37" i="1" s="1"/>
  <c r="I35" i="1"/>
  <c r="I36" i="1" s="1"/>
  <c r="I37" i="1" s="1"/>
  <c r="I38" i="1" s="1"/>
  <c r="I40" i="1" s="1"/>
  <c r="H35" i="1"/>
  <c r="H36" i="1" s="1"/>
  <c r="H37" i="1" s="1"/>
  <c r="C28" i="1"/>
  <c r="C29" i="1" s="1"/>
  <c r="C30" i="1" s="1"/>
  <c r="D28" i="1"/>
  <c r="E28" i="1"/>
  <c r="F28" i="1"/>
  <c r="F29" i="1" s="1"/>
  <c r="F30" i="1" s="1"/>
  <c r="G28" i="1"/>
  <c r="G29" i="1" s="1"/>
  <c r="G30" i="1" s="1"/>
  <c r="G31" i="1" s="1"/>
  <c r="G33" i="1" s="1"/>
  <c r="H28" i="1"/>
  <c r="H29" i="1" s="1"/>
  <c r="H30" i="1" s="1"/>
  <c r="I28" i="1"/>
  <c r="I29" i="1" s="1"/>
  <c r="I30" i="1" s="1"/>
  <c r="E21" i="1"/>
  <c r="E22" i="1" s="1"/>
  <c r="E23" i="1" s="1"/>
  <c r="C21" i="1"/>
  <c r="C22" i="1" s="1"/>
  <c r="C23" i="1" s="1"/>
  <c r="D21" i="1"/>
  <c r="H21" i="1"/>
  <c r="F21" i="1"/>
  <c r="F22" i="1" s="1"/>
  <c r="F23" i="1" s="1"/>
  <c r="F24" i="1" s="1"/>
  <c r="F26" i="1" s="1"/>
  <c r="G21" i="1"/>
  <c r="G22" i="1" s="1"/>
  <c r="G23" i="1" s="1"/>
  <c r="G24" i="1" s="1"/>
  <c r="G26" i="1" s="1"/>
  <c r="I21" i="1"/>
  <c r="I22" i="1" s="1"/>
  <c r="I23" i="1" s="1"/>
  <c r="C14" i="1"/>
  <c r="C15" i="1" s="1"/>
  <c r="F14" i="1"/>
  <c r="F15" i="1" s="1"/>
  <c r="C36" i="1"/>
  <c r="C37" i="1" s="1"/>
  <c r="D36" i="1"/>
  <c r="D37" i="1" s="1"/>
  <c r="E29" i="1"/>
  <c r="E30" i="1" s="1"/>
  <c r="E31" i="1" s="1"/>
  <c r="E33" i="1" s="1"/>
  <c r="D29" i="1"/>
  <c r="D30" i="1" s="1"/>
  <c r="D31" i="1" s="1"/>
  <c r="D33" i="1" s="1"/>
  <c r="D22" i="1"/>
  <c r="D23" i="1" s="1"/>
  <c r="D24" i="1" s="1"/>
  <c r="D26" i="1" s="1"/>
  <c r="H22" i="1"/>
  <c r="H23" i="1" s="1"/>
  <c r="H24" i="1" s="1"/>
  <c r="H26" i="1" s="1"/>
  <c r="D15" i="1"/>
  <c r="E15" i="1"/>
  <c r="G15" i="1"/>
  <c r="H15" i="1"/>
  <c r="I15" i="1"/>
  <c r="E24" i="1" l="1"/>
  <c r="E26" i="1" s="1"/>
  <c r="D38" i="1"/>
  <c r="D40" i="1" s="1"/>
  <c r="C24" i="1"/>
  <c r="C26" i="1" s="1"/>
  <c r="H38" i="1"/>
  <c r="H40" i="1" s="1"/>
  <c r="G38" i="1"/>
  <c r="G40" i="1" s="1"/>
  <c r="F38" i="1"/>
  <c r="F40" i="1" s="1"/>
  <c r="I31" i="1"/>
  <c r="I33" i="1" s="1"/>
  <c r="J36" i="1"/>
  <c r="J29" i="1"/>
  <c r="F31" i="1"/>
  <c r="F33" i="1" s="1"/>
  <c r="J22" i="1"/>
  <c r="I16" i="1"/>
  <c r="F16" i="1"/>
  <c r="F17" i="1" s="1"/>
  <c r="F19" i="1" s="1"/>
  <c r="H16" i="1"/>
  <c r="H17" i="1" s="1"/>
  <c r="H19" i="1" s="1"/>
  <c r="D16" i="1"/>
  <c r="D17" i="1" s="1"/>
  <c r="D19" i="1" s="1"/>
  <c r="E16" i="1"/>
  <c r="E17" i="1" s="1"/>
  <c r="E19" i="1" s="1"/>
  <c r="G16" i="1"/>
  <c r="G17" i="1" s="1"/>
  <c r="G19" i="1" s="1"/>
  <c r="C16" i="1"/>
  <c r="C17" i="1" s="1"/>
  <c r="C19" i="1" s="1"/>
  <c r="J15" i="1"/>
  <c r="I24" i="1"/>
  <c r="C31" i="1"/>
  <c r="C33" i="1" s="1"/>
  <c r="J30" i="1"/>
  <c r="H31" i="1"/>
  <c r="C38" i="1"/>
  <c r="J37" i="1"/>
  <c r="J23" i="1"/>
  <c r="J24" i="1" l="1"/>
  <c r="J26" i="1" s="1"/>
  <c r="J16" i="1"/>
  <c r="I17" i="1"/>
  <c r="J17" i="1" s="1"/>
  <c r="J31" i="1"/>
  <c r="J33" i="1" s="1"/>
  <c r="I26" i="1"/>
  <c r="H33" i="1"/>
  <c r="C40" i="1"/>
  <c r="J38" i="1"/>
  <c r="J40" i="1" s="1"/>
  <c r="I19" i="1" l="1"/>
  <c r="J19" i="1"/>
  <c r="D3" i="1" s="1"/>
  <c r="J3" i="1" l="1"/>
  <c r="J2" i="1"/>
</calcChain>
</file>

<file path=xl/sharedStrings.xml><?xml version="1.0" encoding="utf-8"?>
<sst xmlns="http://schemas.openxmlformats.org/spreadsheetml/2006/main" count="105" uniqueCount="62">
  <si>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</si>
  <si>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</si>
  <si>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</si>
  <si>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</si>
  <si>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</si>
  <si>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</si>
  <si>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</si>
  <si>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일자</t>
    <phoneticPr fontId="2" type="noConversion"/>
  </si>
  <si>
    <t>근무 형태</t>
    <phoneticPr fontId="2" type="noConversion"/>
  </si>
  <si>
    <t>식사 제공</t>
    <phoneticPr fontId="2" type="noConversion"/>
  </si>
  <si>
    <t>식당 태깅</t>
    <phoneticPr fontId="2" type="noConversion"/>
  </si>
  <si>
    <t>당직</t>
    <phoneticPr fontId="2" type="noConversion"/>
  </si>
  <si>
    <t>비번</t>
    <phoneticPr fontId="2" type="noConversion"/>
  </si>
  <si>
    <t>휴무</t>
    <phoneticPr fontId="2" type="noConversion"/>
  </si>
  <si>
    <t>주간</t>
    <phoneticPr fontId="2" type="noConversion"/>
  </si>
  <si>
    <t>연차</t>
    <phoneticPr fontId="2" type="noConversion"/>
  </si>
  <si>
    <t>식수</t>
    <phoneticPr fontId="2" type="noConversion"/>
  </si>
  <si>
    <t>식대 지원</t>
    <phoneticPr fontId="2" type="noConversion"/>
  </si>
  <si>
    <t>1주차</t>
    <phoneticPr fontId="2" type="noConversion"/>
  </si>
  <si>
    <t>2주차</t>
    <phoneticPr fontId="2" type="noConversion"/>
  </si>
  <si>
    <t>3주차</t>
    <phoneticPr fontId="2" type="noConversion"/>
  </si>
  <si>
    <t>4주차</t>
    <phoneticPr fontId="2" type="noConversion"/>
  </si>
  <si>
    <t>5주차</t>
    <phoneticPr fontId="2" type="noConversion"/>
  </si>
  <si>
    <t>계산월</t>
    <phoneticPr fontId="2" type="noConversion"/>
  </si>
  <si>
    <t>근무 코드</t>
    <phoneticPr fontId="2" type="noConversion"/>
  </si>
  <si>
    <t xml:space="preserve"> </t>
    <phoneticPr fontId="2" type="noConversion"/>
  </si>
  <si>
    <t>당</t>
    <phoneticPr fontId="2" type="noConversion"/>
  </si>
  <si>
    <t>비</t>
    <phoneticPr fontId="2" type="noConversion"/>
  </si>
  <si>
    <t>주</t>
    <phoneticPr fontId="2" type="noConversion"/>
  </si>
  <si>
    <t>휴</t>
    <phoneticPr fontId="2" type="noConversion"/>
  </si>
  <si>
    <t>연</t>
    <phoneticPr fontId="2" type="noConversion"/>
  </si>
  <si>
    <t>반</t>
    <phoneticPr fontId="2" type="noConversion"/>
  </si>
  <si>
    <t>반차</t>
    <phoneticPr fontId="2" type="noConversion"/>
  </si>
  <si>
    <t>식당 태깅 일자</t>
    <phoneticPr fontId="2" type="noConversion"/>
  </si>
  <si>
    <t>소계</t>
    <phoneticPr fontId="2" type="noConversion"/>
  </si>
  <si>
    <t>주차별 합산</t>
    <phoneticPr fontId="2" type="noConversion"/>
  </si>
  <si>
    <t>급여명세서 식대 지원</t>
    <phoneticPr fontId="2" type="noConversion"/>
  </si>
  <si>
    <t>급여 명세서 기준 공제</t>
    <phoneticPr fontId="2" type="noConversion"/>
  </si>
  <si>
    <t>식당 태깅 기준 공제</t>
    <phoneticPr fontId="2" type="noConversion"/>
  </si>
  <si>
    <t>요일</t>
    <phoneticPr fontId="2" type="noConversion"/>
  </si>
  <si>
    <t>사측 추가 공제 금액</t>
    <phoneticPr fontId="2" type="noConversion"/>
  </si>
  <si>
    <t>사측 미공제 금액</t>
    <phoneticPr fontId="2" type="noConversion"/>
  </si>
  <si>
    <t>요일</t>
    <phoneticPr fontId="2" type="noConversion"/>
  </si>
  <si>
    <t>식당 태깅 No.</t>
    <phoneticPr fontId="2" type="noConversion"/>
  </si>
  <si>
    <t>날짜</t>
    <phoneticPr fontId="2" type="noConversion"/>
  </si>
  <si>
    <t>비고</t>
    <phoneticPr fontId="2" type="noConversion"/>
  </si>
  <si>
    <t>한글날</t>
    <phoneticPr fontId="2" type="noConversion"/>
  </si>
  <si>
    <t>개천절</t>
    <phoneticPr fontId="2" type="noConversion"/>
  </si>
  <si>
    <t>추석</t>
    <phoneticPr fontId="2" type="noConversion"/>
  </si>
  <si>
    <t>현충일</t>
    <phoneticPr fontId="2" type="noConversion"/>
  </si>
  <si>
    <t>석탄절</t>
    <phoneticPr fontId="2" type="noConversion"/>
  </si>
  <si>
    <t>성탄절</t>
    <phoneticPr fontId="2" type="noConversion"/>
  </si>
  <si>
    <t>대체휴일</t>
    <phoneticPr fontId="2" type="noConversion"/>
  </si>
  <si>
    <t>어린이날</t>
    <phoneticPr fontId="2" type="noConversion"/>
  </si>
  <si>
    <t>근로자의날</t>
    <phoneticPr fontId="2" type="noConversion"/>
  </si>
  <si>
    <t>선거</t>
    <phoneticPr fontId="2" type="noConversion"/>
  </si>
  <si>
    <t>삼일절</t>
    <phoneticPr fontId="2" type="noConversion"/>
  </si>
  <si>
    <t>설날</t>
    <phoneticPr fontId="2" type="noConversion"/>
  </si>
  <si>
    <t>신정</t>
    <phoneticPr fontId="2" type="noConversion"/>
  </si>
  <si>
    <t>비고</t>
    <phoneticPr fontId="2" type="noConversion"/>
  </si>
  <si>
    <t>주황색 란 기입 할 것! (1일 근무 외 자동 입력)</t>
    <phoneticPr fontId="2" type="noConversion"/>
  </si>
  <si>
    <t>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</si>
</sst>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₩&quot;* #,##0_);_(&quot;₩&quot;* \(#,##0\);_(&quot;₩&quot;* &quot;-&quot;_);_(@_)"/>
    <numFmt numFmtId="177" formatCode="d"/>
    <numFmt numFmtId="178" formatCode="mm&quot;월&quot;\ dd&quot;일&quot;"/>
  </numFmts>
  <fonts count="8" x14ac:knownFonts="1"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b/>
      <sz val="12"/>
      <color rgb="FF0070C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0" fillId="4" borderId="8" xfId="0" applyFill="1" applyBorder="1">
      <alignment vertical="center"/>
    </xf>
    <xf numFmtId="0" fontId="6" fillId="0" borderId="0" xfId="0" applyFont="1">
      <alignment vertical="center"/>
    </xf>
    <xf numFmtId="0" fontId="6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8" fontId="0" fillId="0" borderId="0" xfId="0" applyNumberFormat="1">
      <alignment vertical="center"/>
    </xf>
    <xf numFmtId="177" fontId="0" fillId="0" borderId="7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1">
    <cellStyle name="표준" xfId="0" builtinId="0"/>
  </cellStyles>
  <dxfs count="32"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  <dxf>
      <font>
        <b/>
        <i val="0"/>
        <color theme="8" tint="-0.499984740745262"/>
      </font>
      <fill>
        <patternFill>
          <bgColor theme="8" tint="0.599963377788628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00206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1"/>
  <sheetViews>
    <sheetView tabSelected="1" zoomScale="124" zoomScaleNormal="124" workbookViewId="0">
      <selection activeCell="B5" sqref="B5"/>
    </sheetView>
  </sheetViews>
  <sheetFormatPr defaultColWidth="11.5546875" defaultRowHeight="17.25" x14ac:dyDescent="0.3"/>
  <cols>
    <col min="2" max="2" width="18.88671875" bestFit="1" customWidth="1"/>
    <col min="3" max="3" width="5.109375" bestFit="1" customWidth="1"/>
    <col min="4" max="4" width="5.109375" customWidth="1"/>
    <col min="8" max="8" width="13.33203125" bestFit="1" customWidth="1"/>
    <col min="9" max="9" width="11.5546875" style="43" hidden="1" customWidth="1"/>
  </cols>
  <sheetData>
    <row r="1" spans="2:9" ht="18" thickBot="1" x14ac:dyDescent="0.35"/>
    <row r="2" spans="2:9" x14ac:dyDescent="0.3">
      <c r="B2" s="29" t="s">
        <v>60</v>
      </c>
      <c r="C2" s="30"/>
      <c r="D2" s="30"/>
      <c r="E2" s="30"/>
      <c r="F2" s="30"/>
      <c r="G2" s="30"/>
      <c r="H2" s="31"/>
    </row>
    <row r="3" spans="2:9" ht="18" thickBot="1" x14ac:dyDescent="0.35">
      <c r="B3" s="32"/>
      <c r="C3" s="33"/>
      <c r="D3" s="33"/>
      <c r="E3" s="33"/>
      <c r="F3" s="33"/>
      <c r="G3" s="33"/>
      <c r="H3" s="34"/>
    </row>
    <row r="5" spans="2:9" ht="18" thickBot="1" x14ac:dyDescent="0.35"/>
    <row r="6" spans="2:9" ht="18" thickBot="1" x14ac:dyDescent="0.35">
      <c r="B6" s="26" t="s">
        <v>23</v>
      </c>
      <c r="C6" s="26"/>
      <c r="D6" s="26"/>
      <c r="E6" s="23">
        <v>9</v>
      </c>
      <c r="F6" s="20"/>
      <c r="G6" s="20"/>
      <c r="H6" s="20"/>
      <c r="I6" s="44"/>
    </row>
    <row r="7" spans="2:9" ht="18" thickBot="1" x14ac:dyDescent="0.35">
      <c r="B7" s="3"/>
      <c r="C7" s="3"/>
      <c r="D7" s="3"/>
      <c r="E7" s="20"/>
      <c r="F7" s="20"/>
      <c r="G7" s="20"/>
      <c r="H7" s="20"/>
      <c r="I7" s="44"/>
    </row>
    <row r="8" spans="2:9" ht="18" thickBot="1" x14ac:dyDescent="0.35">
      <c r="B8" s="26" t="s">
        <v>36</v>
      </c>
      <c r="C8" s="26"/>
      <c r="D8" s="26"/>
      <c r="E8" s="25">
        <v>16500</v>
      </c>
      <c r="F8" s="20"/>
      <c r="G8" s="20"/>
      <c r="H8" s="20"/>
      <c r="I8" s="44"/>
    </row>
    <row r="9" spans="2:9" ht="18" thickBot="1" x14ac:dyDescent="0.35">
      <c r="B9" s="3"/>
      <c r="C9" s="3"/>
      <c r="D9" s="3"/>
      <c r="E9" s="20"/>
      <c r="F9" s="20"/>
      <c r="G9" s="20"/>
      <c r="H9" s="20"/>
      <c r="I9" s="44"/>
    </row>
    <row r="10" spans="2:9" ht="18" thickBot="1" x14ac:dyDescent="0.35">
      <c r="B10" s="27" t="s">
        <v>7</v>
      </c>
      <c r="C10" s="28" t="s">
        <v>42</v>
      </c>
      <c r="D10" s="28" t="s">
        <v>59</v>
      </c>
      <c r="E10" s="28" t="s">
        <v>8</v>
      </c>
      <c r="F10" s="3"/>
      <c r="G10" s="27" t="s">
        <v>43</v>
      </c>
      <c r="H10" s="27" t="s">
        <v>33</v>
      </c>
    </row>
    <row r="11" spans="2:9" x14ac:dyDescent="0.3">
      <c r="B11" s="21">
        <f ca="1">DATE(YEAR(TODAY()),$E$6,1)</f>
        <v>45536</v>
      </c>
      <c r="C11" s="49" t="str">
        <f ca="1">TEXT(B11,"aaa")</f>
        <v>일</v>
      </c>
      <c r="D11" s="54" t="str">
        <f ca="1">IFERROR(VLOOKUP(B11,참고.공휴일!$B:$C,2,0),"")</f>
        <v/>
      </c>
      <c r="E11" s="55" t="s">
        <v>61</v>
      </c>
      <c r="F11" s="3"/>
      <c r="G11" s="51">
        <v>1</v>
      </c>
      <c r="H11" s="24">
        <v>2</v>
      </c>
      <c r="I11" s="45">
        <f t="shared" ref="I11:I50" ca="1" si="0">IF(LEN($H11)=0,"",IF(MONTH(DATE(YEAR(TODAY()),$E$6,$H11))=$E$6,DATE(YEAR(TODAY()),$E$6,$H11),""))</f>
        <v>45537</v>
      </c>
    </row>
    <row r="12" spans="2:9" x14ac:dyDescent="0.3">
      <c r="B12" s="21">
        <f ca="1">IF(MONTH(B11+1)=$E$6,B11+1,"")</f>
        <v>45537</v>
      </c>
      <c r="C12" s="49" t="str">
        <f t="shared" ref="C12:C41" ca="1" si="1">TEXT(B12,"aaa")</f>
        <v>월</v>
      </c>
      <c r="D12" s="21" t="str">
        <f ca="1">IFERROR(VLOOKUP(B12,참고.공휴일!$B:$C,2,0),"")</f>
        <v/>
      </c>
      <c r="E12" s="56" t="str">
        <f ca="1">IF(OR(C12="토",C12="일",NOT(D12="")),IF(E11="비","휴",IF(OR(E11="주",E11="휴"),"당","비")),IF(E11="비","주",IF(OR(E11="주",E11="휴"),"당","비")))</f>
        <v>비</v>
      </c>
      <c r="F12" s="3"/>
      <c r="G12" s="52">
        <v>2</v>
      </c>
      <c r="H12" s="24">
        <v>3</v>
      </c>
      <c r="I12" s="45">
        <f t="shared" ca="1" si="0"/>
        <v>45538</v>
      </c>
    </row>
    <row r="13" spans="2:9" x14ac:dyDescent="0.3">
      <c r="B13" s="21">
        <f t="shared" ref="B13:B41" ca="1" si="2">IF(MONTH(B12+1)=$E$6,B12+1,"")</f>
        <v>45538</v>
      </c>
      <c r="C13" s="49" t="str">
        <f t="shared" ca="1" si="1"/>
        <v>화</v>
      </c>
      <c r="D13" s="21" t="str">
        <f ca="1">IFERROR(VLOOKUP(B13,참고.공휴일!$B:$C,2,0),"")</f>
        <v/>
      </c>
      <c r="E13" s="56" t="str">
        <f t="shared" ref="E13:E41" ca="1" si="3">IF(OR(C13="토",C13="일",NOT(D13="")),IF(E12="비","휴",IF(OR(E12="주",E12="휴"),"당","비")),IF(E12="비","주",IF(OR(E12="주",E12="휴"),"당","비")))</f>
        <v>주</v>
      </c>
      <c r="F13" s="3"/>
      <c r="G13" s="52">
        <v>3</v>
      </c>
      <c r="H13" s="24">
        <v>3</v>
      </c>
      <c r="I13" s="45">
        <f t="shared" ca="1" si="0"/>
        <v>45538</v>
      </c>
    </row>
    <row r="14" spans="2:9" x14ac:dyDescent="0.3">
      <c r="B14" s="21">
        <f t="shared" ca="1" si="2"/>
        <v>45539</v>
      </c>
      <c r="C14" s="49" t="str">
        <f t="shared" ca="1" si="1"/>
        <v>수</v>
      </c>
      <c r="D14" s="21" t="str">
        <f ca="1">IFERROR(VLOOKUP(B14,참고.공휴일!$B:$C,2,0),"")</f>
        <v/>
      </c>
      <c r="E14" s="56" t="str">
        <f t="shared" ca="1" si="3"/>
        <v>당</v>
      </c>
      <c r="F14" s="3"/>
      <c r="G14" s="52">
        <v>4</v>
      </c>
      <c r="H14" s="24">
        <v>5</v>
      </c>
      <c r="I14" s="45">
        <f t="shared" ca="1" si="0"/>
        <v>45540</v>
      </c>
    </row>
    <row r="15" spans="2:9" x14ac:dyDescent="0.3">
      <c r="B15" s="21">
        <f t="shared" ca="1" si="2"/>
        <v>45540</v>
      </c>
      <c r="C15" s="49" t="str">
        <f t="shared" ca="1" si="1"/>
        <v>목</v>
      </c>
      <c r="D15" s="21" t="str">
        <f ca="1">IFERROR(VLOOKUP(B15,참고.공휴일!$B:$C,2,0),"")</f>
        <v/>
      </c>
      <c r="E15" s="56" t="str">
        <f t="shared" ca="1" si="3"/>
        <v>비</v>
      </c>
      <c r="F15" s="3"/>
      <c r="G15" s="52">
        <v>5</v>
      </c>
      <c r="H15" s="24">
        <v>5</v>
      </c>
      <c r="I15" s="45">
        <f t="shared" ca="1" si="0"/>
        <v>45540</v>
      </c>
    </row>
    <row r="16" spans="2:9" x14ac:dyDescent="0.3">
      <c r="B16" s="21">
        <f t="shared" ca="1" si="2"/>
        <v>45541</v>
      </c>
      <c r="C16" s="49" t="str">
        <f t="shared" ca="1" si="1"/>
        <v>금</v>
      </c>
      <c r="D16" s="21" t="str">
        <f ca="1">IFERROR(VLOOKUP(B16,참고.공휴일!$B:$C,2,0),"")</f>
        <v/>
      </c>
      <c r="E16" s="56" t="str">
        <f t="shared" ca="1" si="3"/>
        <v>주</v>
      </c>
      <c r="F16" s="3"/>
      <c r="G16" s="52">
        <v>6</v>
      </c>
      <c r="H16" s="24">
        <v>6</v>
      </c>
      <c r="I16" s="45">
        <f t="shared" ca="1" si="0"/>
        <v>45541</v>
      </c>
    </row>
    <row r="17" spans="2:9" x14ac:dyDescent="0.3">
      <c r="B17" s="21">
        <f t="shared" ca="1" si="2"/>
        <v>45542</v>
      </c>
      <c r="C17" s="49" t="str">
        <f t="shared" ca="1" si="1"/>
        <v>토</v>
      </c>
      <c r="D17" s="21" t="str">
        <f ca="1">IFERROR(VLOOKUP(B17,참고.공휴일!$B:$C,2,0),"")</f>
        <v/>
      </c>
      <c r="E17" s="56" t="str">
        <f t="shared" ca="1" si="3"/>
        <v>당</v>
      </c>
      <c r="F17" s="3"/>
      <c r="G17" s="52">
        <v>7</v>
      </c>
      <c r="H17" s="24">
        <v>30</v>
      </c>
      <c r="I17" s="45">
        <f t="shared" ca="1" si="0"/>
        <v>45565</v>
      </c>
    </row>
    <row r="18" spans="2:9" x14ac:dyDescent="0.3">
      <c r="B18" s="21">
        <f t="shared" ca="1" si="2"/>
        <v>45543</v>
      </c>
      <c r="C18" s="49" t="str">
        <f t="shared" ca="1" si="1"/>
        <v>일</v>
      </c>
      <c r="D18" s="21" t="str">
        <f ca="1">IFERROR(VLOOKUP(B18,참고.공휴일!$B:$C,2,0),"")</f>
        <v/>
      </c>
      <c r="E18" s="56" t="str">
        <f t="shared" ca="1" si="3"/>
        <v>비</v>
      </c>
      <c r="F18" s="3"/>
      <c r="G18" s="52">
        <v>8</v>
      </c>
      <c r="H18" s="24">
        <v>26</v>
      </c>
      <c r="I18" s="45">
        <f t="shared" ca="1" si="0"/>
        <v>45561</v>
      </c>
    </row>
    <row r="19" spans="2:9" x14ac:dyDescent="0.3">
      <c r="B19" s="21">
        <f t="shared" ca="1" si="2"/>
        <v>45544</v>
      </c>
      <c r="C19" s="49" t="str">
        <f t="shared" ca="1" si="1"/>
        <v>월</v>
      </c>
      <c r="D19" s="21" t="str">
        <f ca="1">IFERROR(VLOOKUP(B19,참고.공휴일!$B:$C,2,0),"")</f>
        <v/>
      </c>
      <c r="E19" s="56" t="str">
        <f t="shared" ca="1" si="3"/>
        <v>주</v>
      </c>
      <c r="F19" s="3"/>
      <c r="G19" s="52">
        <v>9</v>
      </c>
      <c r="H19" s="24">
        <v>26</v>
      </c>
      <c r="I19" s="45">
        <f t="shared" ca="1" si="0"/>
        <v>45561</v>
      </c>
    </row>
    <row r="20" spans="2:9" x14ac:dyDescent="0.3">
      <c r="B20" s="21">
        <f t="shared" ca="1" si="2"/>
        <v>45545</v>
      </c>
      <c r="C20" s="49" t="str">
        <f t="shared" ca="1" si="1"/>
        <v>화</v>
      </c>
      <c r="D20" s="21" t="str">
        <f ca="1">IFERROR(VLOOKUP(B20,참고.공휴일!$B:$C,2,0),"")</f>
        <v/>
      </c>
      <c r="E20" s="56" t="str">
        <f t="shared" ca="1" si="3"/>
        <v>당</v>
      </c>
      <c r="F20" s="3"/>
      <c r="G20" s="52">
        <v>10</v>
      </c>
      <c r="H20" s="24">
        <v>27</v>
      </c>
      <c r="I20" s="45">
        <f t="shared" ca="1" si="0"/>
        <v>45562</v>
      </c>
    </row>
    <row r="21" spans="2:9" x14ac:dyDescent="0.3">
      <c r="B21" s="21">
        <f t="shared" ca="1" si="2"/>
        <v>45546</v>
      </c>
      <c r="C21" s="49" t="str">
        <f t="shared" ca="1" si="1"/>
        <v>수</v>
      </c>
      <c r="D21" s="21" t="str">
        <f ca="1">IFERROR(VLOOKUP(B21,참고.공휴일!$B:$C,2,0),"")</f>
        <v/>
      </c>
      <c r="E21" s="56" t="str">
        <f t="shared" ca="1" si="3"/>
        <v>비</v>
      </c>
      <c r="F21" s="3"/>
      <c r="G21" s="52">
        <v>11</v>
      </c>
      <c r="H21" s="24">
        <v>27</v>
      </c>
      <c r="I21" s="45">
        <f t="shared" ca="1" si="0"/>
        <v>45562</v>
      </c>
    </row>
    <row r="22" spans="2:9" x14ac:dyDescent="0.3">
      <c r="B22" s="21">
        <f t="shared" ca="1" si="2"/>
        <v>45547</v>
      </c>
      <c r="C22" s="49" t="str">
        <f t="shared" ca="1" si="1"/>
        <v>목</v>
      </c>
      <c r="D22" s="21" t="str">
        <f ca="1">IFERROR(VLOOKUP(B22,참고.공휴일!$B:$C,2,0),"")</f>
        <v/>
      </c>
      <c r="E22" s="56" t="str">
        <f t="shared" ca="1" si="3"/>
        <v>주</v>
      </c>
      <c r="F22" s="3"/>
      <c r="G22" s="52">
        <v>12</v>
      </c>
      <c r="H22" s="24">
        <v>27</v>
      </c>
      <c r="I22" s="45">
        <f t="shared" ca="1" si="0"/>
        <v>45562</v>
      </c>
    </row>
    <row r="23" spans="2:9" x14ac:dyDescent="0.3">
      <c r="B23" s="21">
        <f t="shared" ca="1" si="2"/>
        <v>45548</v>
      </c>
      <c r="C23" s="49" t="str">
        <f t="shared" ca="1" si="1"/>
        <v>금</v>
      </c>
      <c r="D23" s="21" t="str">
        <f ca="1">IFERROR(VLOOKUP(B23,참고.공휴일!$B:$C,2,0),"")</f>
        <v/>
      </c>
      <c r="E23" s="56" t="str">
        <f t="shared" ca="1" si="3"/>
        <v>당</v>
      </c>
      <c r="F23" s="3"/>
      <c r="G23" s="52">
        <v>13</v>
      </c>
      <c r="H23" s="24">
        <v>30</v>
      </c>
      <c r="I23" s="45">
        <f t="shared" ca="1" si="0"/>
        <v>45565</v>
      </c>
    </row>
    <row r="24" spans="2:9" x14ac:dyDescent="0.3">
      <c r="B24" s="21">
        <f t="shared" ca="1" si="2"/>
        <v>45549</v>
      </c>
      <c r="C24" s="49" t="str">
        <f t="shared" ca="1" si="1"/>
        <v>토</v>
      </c>
      <c r="D24" s="21" t="str">
        <f ca="1">IFERROR(VLOOKUP(B24,참고.공휴일!$B:$C,2,0),"")</f>
        <v/>
      </c>
      <c r="E24" s="56" t="str">
        <f t="shared" ca="1" si="3"/>
        <v>비</v>
      </c>
      <c r="F24" s="3"/>
      <c r="G24" s="52">
        <v>14</v>
      </c>
      <c r="H24" s="24">
        <v>23</v>
      </c>
      <c r="I24" s="45">
        <f t="shared" ca="1" si="0"/>
        <v>45558</v>
      </c>
    </row>
    <row r="25" spans="2:9" x14ac:dyDescent="0.3">
      <c r="B25" s="21">
        <f t="shared" ca="1" si="2"/>
        <v>45550</v>
      </c>
      <c r="C25" s="49" t="str">
        <f t="shared" ca="1" si="1"/>
        <v>일</v>
      </c>
      <c r="D25" s="21" t="str">
        <f ca="1">IFERROR(VLOOKUP(B25,참고.공휴일!$B:$C,2,0),"")</f>
        <v/>
      </c>
      <c r="E25" s="56" t="str">
        <f t="shared" ca="1" si="3"/>
        <v>휴</v>
      </c>
      <c r="F25" s="3"/>
      <c r="G25" s="52">
        <v>15</v>
      </c>
      <c r="H25" s="24">
        <v>23</v>
      </c>
      <c r="I25" s="45">
        <f t="shared" ca="1" si="0"/>
        <v>45558</v>
      </c>
    </row>
    <row r="26" spans="2:9" x14ac:dyDescent="0.3">
      <c r="B26" s="21">
        <f t="shared" ca="1" si="2"/>
        <v>45551</v>
      </c>
      <c r="C26" s="49" t="str">
        <f t="shared" ca="1" si="1"/>
        <v>월</v>
      </c>
      <c r="D26" s="21" t="str">
        <f ca="1">IFERROR(VLOOKUP(B26,참고.공휴일!$B:$C,2,0),"")</f>
        <v>추석</v>
      </c>
      <c r="E26" s="56" t="str">
        <f t="shared" ca="1" si="3"/>
        <v>당</v>
      </c>
      <c r="F26" s="3"/>
      <c r="G26" s="52">
        <v>16</v>
      </c>
      <c r="H26" s="24">
        <v>24</v>
      </c>
      <c r="I26" s="45">
        <f t="shared" ca="1" si="0"/>
        <v>45559</v>
      </c>
    </row>
    <row r="27" spans="2:9" x14ac:dyDescent="0.3">
      <c r="B27" s="21">
        <f t="shared" ca="1" si="2"/>
        <v>45552</v>
      </c>
      <c r="C27" s="49" t="str">
        <f t="shared" ca="1" si="1"/>
        <v>화</v>
      </c>
      <c r="D27" s="21" t="str">
        <f ca="1">IFERROR(VLOOKUP(B27,참고.공휴일!$B:$C,2,0),"")</f>
        <v>추석</v>
      </c>
      <c r="E27" s="56" t="str">
        <f t="shared" ca="1" si="3"/>
        <v>비</v>
      </c>
      <c r="F27" s="3"/>
      <c r="G27" s="52">
        <v>17</v>
      </c>
      <c r="H27" s="24">
        <v>24</v>
      </c>
      <c r="I27" s="45">
        <f t="shared" ca="1" si="0"/>
        <v>45559</v>
      </c>
    </row>
    <row r="28" spans="2:9" x14ac:dyDescent="0.3">
      <c r="B28" s="21">
        <f t="shared" ca="1" si="2"/>
        <v>45553</v>
      </c>
      <c r="C28" s="49" t="str">
        <f t="shared" ca="1" si="1"/>
        <v>수</v>
      </c>
      <c r="D28" s="21" t="str">
        <f ca="1">IFERROR(VLOOKUP(B28,참고.공휴일!$B:$C,2,0),"")</f>
        <v>추석</v>
      </c>
      <c r="E28" s="56" t="str">
        <f t="shared" ca="1" si="3"/>
        <v>휴</v>
      </c>
      <c r="F28" s="3"/>
      <c r="G28" s="52">
        <v>18</v>
      </c>
      <c r="H28" s="24">
        <v>26</v>
      </c>
      <c r="I28" s="45">
        <f t="shared" ca="1" si="0"/>
        <v>45561</v>
      </c>
    </row>
    <row r="29" spans="2:9" x14ac:dyDescent="0.3">
      <c r="B29" s="21">
        <f t="shared" ca="1" si="2"/>
        <v>45554</v>
      </c>
      <c r="C29" s="49" t="str">
        <f t="shared" ca="1" si="1"/>
        <v>목</v>
      </c>
      <c r="D29" s="21" t="str">
        <f ca="1">IFERROR(VLOOKUP(B29,참고.공휴일!$B:$C,2,0),"")</f>
        <v/>
      </c>
      <c r="E29" s="56" t="str">
        <f t="shared" ca="1" si="3"/>
        <v>당</v>
      </c>
      <c r="F29" s="3"/>
      <c r="G29" s="52">
        <v>19</v>
      </c>
      <c r="H29" s="24">
        <v>26</v>
      </c>
      <c r="I29" s="45">
        <f t="shared" ca="1" si="0"/>
        <v>45561</v>
      </c>
    </row>
    <row r="30" spans="2:9" x14ac:dyDescent="0.3">
      <c r="B30" s="21">
        <f t="shared" ca="1" si="2"/>
        <v>45555</v>
      </c>
      <c r="C30" s="49" t="str">
        <f t="shared" ca="1" si="1"/>
        <v>금</v>
      </c>
      <c r="D30" s="21" t="str">
        <f ca="1">IFERROR(VLOOKUP(B30,참고.공휴일!$B:$C,2,0),"")</f>
        <v/>
      </c>
      <c r="E30" s="56" t="str">
        <f t="shared" ca="1" si="3"/>
        <v>비</v>
      </c>
      <c r="F30" s="3"/>
      <c r="G30" s="52">
        <v>20</v>
      </c>
      <c r="H30" s="24">
        <v>12</v>
      </c>
      <c r="I30" s="45">
        <f t="shared" ca="1" si="0"/>
        <v>45547</v>
      </c>
    </row>
    <row r="31" spans="2:9" x14ac:dyDescent="0.3">
      <c r="B31" s="21">
        <f t="shared" ca="1" si="2"/>
        <v>45556</v>
      </c>
      <c r="C31" s="49" t="str">
        <f t="shared" ca="1" si="1"/>
        <v>토</v>
      </c>
      <c r="D31" s="21" t="str">
        <f ca="1">IFERROR(VLOOKUP(B31,참고.공휴일!$B:$C,2,0),"")</f>
        <v/>
      </c>
      <c r="E31" s="56" t="str">
        <f t="shared" ca="1" si="3"/>
        <v>휴</v>
      </c>
      <c r="F31" s="3"/>
      <c r="G31" s="52">
        <v>21</v>
      </c>
      <c r="H31" s="24">
        <v>12</v>
      </c>
      <c r="I31" s="45">
        <f t="shared" ca="1" si="0"/>
        <v>45547</v>
      </c>
    </row>
    <row r="32" spans="2:9" x14ac:dyDescent="0.3">
      <c r="B32" s="21">
        <f t="shared" ca="1" si="2"/>
        <v>45557</v>
      </c>
      <c r="C32" s="49" t="str">
        <f t="shared" ca="1" si="1"/>
        <v>일</v>
      </c>
      <c r="D32" s="21" t="str">
        <f ca="1">IFERROR(VLOOKUP(B32,참고.공휴일!$B:$C,2,0),"")</f>
        <v/>
      </c>
      <c r="E32" s="56" t="str">
        <f t="shared" ca="1" si="3"/>
        <v>당</v>
      </c>
      <c r="F32" s="3"/>
      <c r="G32" s="52">
        <v>22</v>
      </c>
      <c r="H32" s="24">
        <v>12</v>
      </c>
      <c r="I32" s="45">
        <f t="shared" ca="1" si="0"/>
        <v>45547</v>
      </c>
    </row>
    <row r="33" spans="2:9" x14ac:dyDescent="0.3">
      <c r="B33" s="21">
        <f t="shared" ca="1" si="2"/>
        <v>45558</v>
      </c>
      <c r="C33" s="49" t="str">
        <f t="shared" ca="1" si="1"/>
        <v>월</v>
      </c>
      <c r="D33" s="21" t="str">
        <f ca="1">IFERROR(VLOOKUP(B33,참고.공휴일!$B:$C,2,0),"")</f>
        <v/>
      </c>
      <c r="E33" s="56" t="str">
        <f t="shared" ca="1" si="3"/>
        <v>비</v>
      </c>
      <c r="F33" s="3"/>
      <c r="G33" s="52">
        <v>23</v>
      </c>
      <c r="H33" s="24">
        <v>12</v>
      </c>
      <c r="I33" s="45">
        <f t="shared" ca="1" si="0"/>
        <v>45547</v>
      </c>
    </row>
    <row r="34" spans="2:9" x14ac:dyDescent="0.3">
      <c r="B34" s="21">
        <f t="shared" ca="1" si="2"/>
        <v>45559</v>
      </c>
      <c r="C34" s="49" t="str">
        <f t="shared" ca="1" si="1"/>
        <v>화</v>
      </c>
      <c r="D34" s="21" t="str">
        <f ca="1">IFERROR(VLOOKUP(B34,참고.공휴일!$B:$C,2,0),"")</f>
        <v/>
      </c>
      <c r="E34" s="56" t="str">
        <f t="shared" ca="1" si="3"/>
        <v>주</v>
      </c>
      <c r="F34" s="3"/>
      <c r="G34" s="52">
        <v>24</v>
      </c>
      <c r="H34" s="24">
        <v>20</v>
      </c>
      <c r="I34" s="45">
        <f t="shared" ca="1" si="0"/>
        <v>45555</v>
      </c>
    </row>
    <row r="35" spans="2:9" x14ac:dyDescent="0.3">
      <c r="B35" s="21">
        <f t="shared" ca="1" si="2"/>
        <v>45560</v>
      </c>
      <c r="C35" s="49" t="str">
        <f t="shared" ca="1" si="1"/>
        <v>수</v>
      </c>
      <c r="D35" s="21" t="str">
        <f ca="1">IFERROR(VLOOKUP(B35,참고.공휴일!$B:$C,2,0),"")</f>
        <v/>
      </c>
      <c r="E35" s="56" t="str">
        <f t="shared" ca="1" si="3"/>
        <v>당</v>
      </c>
      <c r="F35" s="3"/>
      <c r="G35" s="52">
        <v>25</v>
      </c>
      <c r="H35" s="24">
        <v>21</v>
      </c>
      <c r="I35" s="45">
        <f t="shared" ca="1" si="0"/>
        <v>45556</v>
      </c>
    </row>
    <row r="36" spans="2:9" x14ac:dyDescent="0.3">
      <c r="B36" s="21">
        <f t="shared" ca="1" si="2"/>
        <v>45561</v>
      </c>
      <c r="C36" s="49" t="str">
        <f t="shared" ca="1" si="1"/>
        <v>목</v>
      </c>
      <c r="D36" s="21" t="str">
        <f ca="1">IFERROR(VLOOKUP(B36,참고.공휴일!$B:$C,2,0),"")</f>
        <v/>
      </c>
      <c r="E36" s="56" t="str">
        <f t="shared" ca="1" si="3"/>
        <v>비</v>
      </c>
      <c r="F36" s="3"/>
      <c r="G36" s="52">
        <v>26</v>
      </c>
      <c r="H36" s="24">
        <v>6</v>
      </c>
      <c r="I36" s="45">
        <f t="shared" ca="1" si="0"/>
        <v>45541</v>
      </c>
    </row>
    <row r="37" spans="2:9" x14ac:dyDescent="0.3">
      <c r="B37" s="21">
        <f t="shared" ca="1" si="2"/>
        <v>45562</v>
      </c>
      <c r="C37" s="49" t="str">
        <f t="shared" ca="1" si="1"/>
        <v>금</v>
      </c>
      <c r="D37" s="21" t="str">
        <f ca="1">IFERROR(VLOOKUP(B37,참고.공휴일!$B:$C,2,0),"")</f>
        <v/>
      </c>
      <c r="E37" s="56" t="str">
        <f t="shared" ca="1" si="3"/>
        <v>주</v>
      </c>
      <c r="F37" s="3"/>
      <c r="G37" s="52">
        <v>27</v>
      </c>
      <c r="H37" s="24">
        <v>6</v>
      </c>
      <c r="I37" s="45">
        <f t="shared" ca="1" si="0"/>
        <v>45541</v>
      </c>
    </row>
    <row r="38" spans="2:9" x14ac:dyDescent="0.3">
      <c r="B38" s="21">
        <f t="shared" ca="1" si="2"/>
        <v>45563</v>
      </c>
      <c r="C38" s="49" t="str">
        <f t="shared" ca="1" si="1"/>
        <v>토</v>
      </c>
      <c r="D38" s="21" t="str">
        <f ca="1">IFERROR(VLOOKUP(B38,참고.공휴일!$B:$C,2,0),"")</f>
        <v/>
      </c>
      <c r="E38" s="56" t="str">
        <f t="shared" ca="1" si="3"/>
        <v>당</v>
      </c>
      <c r="F38" s="3"/>
      <c r="G38" s="52">
        <v>28</v>
      </c>
      <c r="H38" s="24">
        <v>9</v>
      </c>
      <c r="I38" s="45">
        <f t="shared" ca="1" si="0"/>
        <v>45544</v>
      </c>
    </row>
    <row r="39" spans="2:9" x14ac:dyDescent="0.3">
      <c r="B39" s="21">
        <f t="shared" ca="1" si="2"/>
        <v>45564</v>
      </c>
      <c r="C39" s="49" t="str">
        <f t="shared" ca="1" si="1"/>
        <v>일</v>
      </c>
      <c r="D39" s="21" t="str">
        <f ca="1">IFERROR(VLOOKUP(B39,참고.공휴일!$B:$C,2,0),"")</f>
        <v/>
      </c>
      <c r="E39" s="56" t="str">
        <f t="shared" ca="1" si="3"/>
        <v>비</v>
      </c>
      <c r="F39" s="3"/>
      <c r="G39" s="52">
        <v>29</v>
      </c>
      <c r="H39" s="24">
        <v>9</v>
      </c>
      <c r="I39" s="45">
        <f t="shared" ca="1" si="0"/>
        <v>45544</v>
      </c>
    </row>
    <row r="40" spans="2:9" x14ac:dyDescent="0.3">
      <c r="B40" s="21">
        <f t="shared" ca="1" si="2"/>
        <v>45565</v>
      </c>
      <c r="C40" s="49" t="str">
        <f t="shared" ca="1" si="1"/>
        <v>월</v>
      </c>
      <c r="D40" s="21" t="str">
        <f ca="1">IFERROR(VLOOKUP(B40,참고.공휴일!$B:$C,2,0),"")</f>
        <v/>
      </c>
      <c r="E40" s="56" t="str">
        <f t="shared" ca="1" si="3"/>
        <v>주</v>
      </c>
      <c r="F40" s="3"/>
      <c r="G40" s="52">
        <v>30</v>
      </c>
      <c r="H40" s="24">
        <v>9</v>
      </c>
      <c r="I40" s="45">
        <f t="shared" ca="1" si="0"/>
        <v>45544</v>
      </c>
    </row>
    <row r="41" spans="2:9" ht="18" thickBot="1" x14ac:dyDescent="0.35">
      <c r="B41" s="22" t="str">
        <f t="shared" ca="1" si="2"/>
        <v/>
      </c>
      <c r="C41" s="50" t="str">
        <f t="shared" ca="1" si="1"/>
        <v/>
      </c>
      <c r="D41" s="22" t="str">
        <f ca="1">IFERROR(VLOOKUP(B41,참고.공휴일!$B:$C,2,0),"")</f>
        <v/>
      </c>
      <c r="E41" s="57" t="str">
        <f t="shared" ca="1" si="3"/>
        <v>당</v>
      </c>
      <c r="F41" s="3"/>
      <c r="G41" s="52">
        <v>31</v>
      </c>
      <c r="H41" s="24"/>
      <c r="I41" s="45" t="str">
        <f t="shared" ca="1" si="0"/>
        <v/>
      </c>
    </row>
    <row r="42" spans="2:9" x14ac:dyDescent="0.3">
      <c r="B42" s="3"/>
      <c r="C42" s="3"/>
      <c r="D42" s="3"/>
      <c r="E42" s="3"/>
      <c r="F42" s="3"/>
      <c r="G42" s="52">
        <v>32</v>
      </c>
      <c r="H42" s="24"/>
      <c r="I42" s="45" t="str">
        <f t="shared" ca="1" si="0"/>
        <v/>
      </c>
    </row>
    <row r="43" spans="2:9" x14ac:dyDescent="0.3">
      <c r="B43" s="3"/>
      <c r="C43" s="3"/>
      <c r="D43" s="3"/>
      <c r="E43" s="3"/>
      <c r="F43" s="3"/>
      <c r="G43" s="52">
        <v>33</v>
      </c>
      <c r="H43" s="24"/>
      <c r="I43" s="45" t="str">
        <f t="shared" ca="1" si="0"/>
        <v/>
      </c>
    </row>
    <row r="44" spans="2:9" x14ac:dyDescent="0.3">
      <c r="B44" s="3"/>
      <c r="C44" s="3"/>
      <c r="D44" s="3"/>
      <c r="E44" s="3"/>
      <c r="F44" s="3"/>
      <c r="G44" s="52">
        <v>34</v>
      </c>
      <c r="H44" s="24"/>
      <c r="I44" s="45" t="str">
        <f t="shared" ca="1" si="0"/>
        <v/>
      </c>
    </row>
    <row r="45" spans="2:9" x14ac:dyDescent="0.3">
      <c r="B45" s="3"/>
      <c r="C45" s="3"/>
      <c r="D45" s="3"/>
      <c r="E45" s="3"/>
      <c r="F45" s="3"/>
      <c r="G45" s="52">
        <v>35</v>
      </c>
      <c r="H45" s="24"/>
      <c r="I45" s="45" t="str">
        <f t="shared" ca="1" si="0"/>
        <v/>
      </c>
    </row>
    <row r="46" spans="2:9" x14ac:dyDescent="0.3">
      <c r="B46" s="3"/>
      <c r="C46" s="3"/>
      <c r="D46" s="3"/>
      <c r="E46" s="3"/>
      <c r="F46" s="3"/>
      <c r="G46" s="52">
        <v>36</v>
      </c>
      <c r="H46" s="24"/>
      <c r="I46" s="45" t="str">
        <f t="shared" ca="1" si="0"/>
        <v/>
      </c>
    </row>
    <row r="47" spans="2:9" x14ac:dyDescent="0.3">
      <c r="B47" s="3"/>
      <c r="C47" s="3"/>
      <c r="D47" s="3"/>
      <c r="E47" s="3"/>
      <c r="F47" s="3"/>
      <c r="G47" s="52">
        <v>37</v>
      </c>
      <c r="H47" s="24"/>
      <c r="I47" s="45" t="str">
        <f t="shared" ca="1" si="0"/>
        <v/>
      </c>
    </row>
    <row r="48" spans="2:9" x14ac:dyDescent="0.3">
      <c r="B48" s="3"/>
      <c r="C48" s="3"/>
      <c r="D48" s="3"/>
      <c r="E48" s="3"/>
      <c r="F48" s="3"/>
      <c r="G48" s="52">
        <v>38</v>
      </c>
      <c r="H48" s="24"/>
      <c r="I48" s="45" t="str">
        <f t="shared" ca="1" si="0"/>
        <v/>
      </c>
    </row>
    <row r="49" spans="2:9" x14ac:dyDescent="0.3">
      <c r="B49" s="3"/>
      <c r="C49" s="3"/>
      <c r="D49" s="3"/>
      <c r="E49" s="3"/>
      <c r="F49" s="3"/>
      <c r="G49" s="52">
        <v>39</v>
      </c>
      <c r="H49" s="24"/>
      <c r="I49" s="45" t="str">
        <f t="shared" ca="1" si="0"/>
        <v/>
      </c>
    </row>
    <row r="50" spans="2:9" x14ac:dyDescent="0.3">
      <c r="B50" s="3"/>
      <c r="C50" s="3"/>
      <c r="D50" s="3"/>
      <c r="E50" s="3"/>
      <c r="F50" s="3"/>
      <c r="G50" s="52">
        <v>40</v>
      </c>
      <c r="H50" s="24"/>
      <c r="I50" s="45" t="str">
        <f t="shared" ca="1" si="0"/>
        <v/>
      </c>
    </row>
    <row r="51" spans="2:9" x14ac:dyDescent="0.3">
      <c r="F51" s="3"/>
      <c r="G51" s="52">
        <v>41</v>
      </c>
      <c r="H51" s="41"/>
      <c r="I51" s="45" t="str">
        <f ca="1">IF(LEN($H51)=0,"",IF(MONTH(DATE(YEAR(TODAY()),$E$6,$H51))=$E$6,DATE(YEAR(TODAY()),$E$6,$H51),""))</f>
        <v/>
      </c>
    </row>
    <row r="52" spans="2:9" x14ac:dyDescent="0.3">
      <c r="G52" s="52">
        <v>42</v>
      </c>
      <c r="H52" s="41"/>
      <c r="I52" s="45" t="str">
        <f t="shared" ref="I52:I91" ca="1" si="4">IF(LEN($H52)=0,"",IF(MONTH(DATE(YEAR(TODAY()),$E$6,$H52))=$E$6,DATE(YEAR(TODAY()),$E$6,$H52),""))</f>
        <v/>
      </c>
    </row>
    <row r="53" spans="2:9" x14ac:dyDescent="0.3">
      <c r="G53" s="52">
        <v>43</v>
      </c>
      <c r="H53" s="41"/>
      <c r="I53" s="45" t="str">
        <f t="shared" ca="1" si="4"/>
        <v/>
      </c>
    </row>
    <row r="54" spans="2:9" x14ac:dyDescent="0.3">
      <c r="G54" s="52">
        <v>44</v>
      </c>
      <c r="H54" s="41"/>
      <c r="I54" s="45" t="str">
        <f t="shared" ca="1" si="4"/>
        <v/>
      </c>
    </row>
    <row r="55" spans="2:9" x14ac:dyDescent="0.3">
      <c r="G55" s="52">
        <v>45</v>
      </c>
      <c r="H55" s="41"/>
      <c r="I55" s="45" t="str">
        <f t="shared" ca="1" si="4"/>
        <v/>
      </c>
    </row>
    <row r="56" spans="2:9" x14ac:dyDescent="0.3">
      <c r="G56" s="52">
        <v>46</v>
      </c>
      <c r="H56" s="41"/>
      <c r="I56" s="45" t="str">
        <f t="shared" ca="1" si="4"/>
        <v/>
      </c>
    </row>
    <row r="57" spans="2:9" x14ac:dyDescent="0.3">
      <c r="G57" s="52">
        <v>47</v>
      </c>
      <c r="H57" s="41"/>
      <c r="I57" s="45" t="str">
        <f t="shared" ca="1" si="4"/>
        <v/>
      </c>
    </row>
    <row r="58" spans="2:9" x14ac:dyDescent="0.3">
      <c r="G58" s="52">
        <v>48</v>
      </c>
      <c r="H58" s="41"/>
      <c r="I58" s="45" t="str">
        <f t="shared" ca="1" si="4"/>
        <v/>
      </c>
    </row>
    <row r="59" spans="2:9" x14ac:dyDescent="0.3">
      <c r="G59" s="52">
        <v>49</v>
      </c>
      <c r="H59" s="41"/>
      <c r="I59" s="45" t="str">
        <f t="shared" ca="1" si="4"/>
        <v/>
      </c>
    </row>
    <row r="60" spans="2:9" x14ac:dyDescent="0.3">
      <c r="G60" s="52">
        <v>50</v>
      </c>
      <c r="H60" s="41"/>
      <c r="I60" s="45" t="str">
        <f t="shared" ca="1" si="4"/>
        <v/>
      </c>
    </row>
    <row r="61" spans="2:9" x14ac:dyDescent="0.3">
      <c r="G61" s="52">
        <v>51</v>
      </c>
      <c r="H61" s="41"/>
      <c r="I61" s="45" t="str">
        <f t="shared" ca="1" si="4"/>
        <v/>
      </c>
    </row>
    <row r="62" spans="2:9" x14ac:dyDescent="0.3">
      <c r="G62" s="52">
        <v>52</v>
      </c>
      <c r="H62" s="41"/>
      <c r="I62" s="45" t="str">
        <f t="shared" ca="1" si="4"/>
        <v/>
      </c>
    </row>
    <row r="63" spans="2:9" x14ac:dyDescent="0.3">
      <c r="G63" s="52">
        <v>53</v>
      </c>
      <c r="H63" s="41"/>
      <c r="I63" s="45" t="str">
        <f t="shared" ca="1" si="4"/>
        <v/>
      </c>
    </row>
    <row r="64" spans="2:9" x14ac:dyDescent="0.3">
      <c r="G64" s="52">
        <v>54</v>
      </c>
      <c r="H64" s="41"/>
      <c r="I64" s="45" t="str">
        <f t="shared" ca="1" si="4"/>
        <v/>
      </c>
    </row>
    <row r="65" spans="7:9" x14ac:dyDescent="0.3">
      <c r="G65" s="52">
        <v>55</v>
      </c>
      <c r="H65" s="41"/>
      <c r="I65" s="45" t="str">
        <f t="shared" ca="1" si="4"/>
        <v/>
      </c>
    </row>
    <row r="66" spans="7:9" x14ac:dyDescent="0.3">
      <c r="G66" s="52">
        <v>56</v>
      </c>
      <c r="H66" s="41"/>
      <c r="I66" s="45" t="str">
        <f t="shared" ca="1" si="4"/>
        <v/>
      </c>
    </row>
    <row r="67" spans="7:9" x14ac:dyDescent="0.3">
      <c r="G67" s="52">
        <v>57</v>
      </c>
      <c r="H67" s="41"/>
      <c r="I67" s="45" t="str">
        <f t="shared" ca="1" si="4"/>
        <v/>
      </c>
    </row>
    <row r="68" spans="7:9" x14ac:dyDescent="0.3">
      <c r="G68" s="52">
        <v>58</v>
      </c>
      <c r="H68" s="41"/>
      <c r="I68" s="45" t="str">
        <f t="shared" ca="1" si="4"/>
        <v/>
      </c>
    </row>
    <row r="69" spans="7:9" x14ac:dyDescent="0.3">
      <c r="G69" s="52">
        <v>59</v>
      </c>
      <c r="H69" s="41"/>
      <c r="I69" s="45" t="str">
        <f t="shared" ca="1" si="4"/>
        <v/>
      </c>
    </row>
    <row r="70" spans="7:9" x14ac:dyDescent="0.3">
      <c r="G70" s="52">
        <v>60</v>
      </c>
      <c r="H70" s="41"/>
      <c r="I70" s="45" t="str">
        <f t="shared" ca="1" si="4"/>
        <v/>
      </c>
    </row>
    <row r="71" spans="7:9" x14ac:dyDescent="0.3">
      <c r="G71" s="52">
        <v>61</v>
      </c>
      <c r="H71" s="41"/>
      <c r="I71" s="45" t="str">
        <f t="shared" ca="1" si="4"/>
        <v/>
      </c>
    </row>
    <row r="72" spans="7:9" x14ac:dyDescent="0.3">
      <c r="G72" s="52">
        <v>62</v>
      </c>
      <c r="H72" s="41"/>
      <c r="I72" s="45" t="str">
        <f t="shared" ca="1" si="4"/>
        <v/>
      </c>
    </row>
    <row r="73" spans="7:9" x14ac:dyDescent="0.3">
      <c r="G73" s="52">
        <v>63</v>
      </c>
      <c r="H73" s="41"/>
      <c r="I73" s="45" t="str">
        <f t="shared" ca="1" si="4"/>
        <v/>
      </c>
    </row>
    <row r="74" spans="7:9" x14ac:dyDescent="0.3">
      <c r="G74" s="52">
        <v>64</v>
      </c>
      <c r="H74" s="41"/>
      <c r="I74" s="45" t="str">
        <f t="shared" ca="1" si="4"/>
        <v/>
      </c>
    </row>
    <row r="75" spans="7:9" x14ac:dyDescent="0.3">
      <c r="G75" s="52">
        <v>65</v>
      </c>
      <c r="H75" s="41"/>
      <c r="I75" s="45" t="str">
        <f t="shared" ca="1" si="4"/>
        <v/>
      </c>
    </row>
    <row r="76" spans="7:9" x14ac:dyDescent="0.3">
      <c r="G76" s="52">
        <v>66</v>
      </c>
      <c r="H76" s="41"/>
      <c r="I76" s="45" t="str">
        <f t="shared" ca="1" si="4"/>
        <v/>
      </c>
    </row>
    <row r="77" spans="7:9" x14ac:dyDescent="0.3">
      <c r="G77" s="52">
        <v>67</v>
      </c>
      <c r="H77" s="41"/>
      <c r="I77" s="45" t="str">
        <f t="shared" ca="1" si="4"/>
        <v/>
      </c>
    </row>
    <row r="78" spans="7:9" x14ac:dyDescent="0.3">
      <c r="G78" s="52">
        <v>68</v>
      </c>
      <c r="H78" s="41"/>
      <c r="I78" s="45" t="str">
        <f t="shared" ca="1" si="4"/>
        <v/>
      </c>
    </row>
    <row r="79" spans="7:9" x14ac:dyDescent="0.3">
      <c r="G79" s="52">
        <v>69</v>
      </c>
      <c r="H79" s="41"/>
      <c r="I79" s="45" t="str">
        <f t="shared" ca="1" si="4"/>
        <v/>
      </c>
    </row>
    <row r="80" spans="7:9" x14ac:dyDescent="0.3">
      <c r="G80" s="52">
        <v>70</v>
      </c>
      <c r="H80" s="41"/>
      <c r="I80" s="45" t="str">
        <f t="shared" ca="1" si="4"/>
        <v/>
      </c>
    </row>
    <row r="81" spans="7:9" x14ac:dyDescent="0.3">
      <c r="G81" s="52">
        <v>71</v>
      </c>
      <c r="H81" s="41"/>
      <c r="I81" s="45" t="str">
        <f t="shared" ca="1" si="4"/>
        <v/>
      </c>
    </row>
    <row r="82" spans="7:9" x14ac:dyDescent="0.3">
      <c r="G82" s="52">
        <v>72</v>
      </c>
      <c r="H82" s="41"/>
      <c r="I82" s="45" t="str">
        <f t="shared" ca="1" si="4"/>
        <v/>
      </c>
    </row>
    <row r="83" spans="7:9" x14ac:dyDescent="0.3">
      <c r="G83" s="52">
        <v>73</v>
      </c>
      <c r="H83" s="41"/>
      <c r="I83" s="45" t="str">
        <f t="shared" ca="1" si="4"/>
        <v/>
      </c>
    </row>
    <row r="84" spans="7:9" x14ac:dyDescent="0.3">
      <c r="G84" s="52">
        <v>74</v>
      </c>
      <c r="H84" s="41"/>
      <c r="I84" s="45" t="str">
        <f t="shared" ca="1" si="4"/>
        <v/>
      </c>
    </row>
    <row r="85" spans="7:9" x14ac:dyDescent="0.3">
      <c r="G85" s="52">
        <v>75</v>
      </c>
      <c r="H85" s="41"/>
      <c r="I85" s="45" t="str">
        <f t="shared" ca="1" si="4"/>
        <v/>
      </c>
    </row>
    <row r="86" spans="7:9" x14ac:dyDescent="0.3">
      <c r="G86" s="52">
        <v>76</v>
      </c>
      <c r="H86" s="41"/>
      <c r="I86" s="45" t="str">
        <f t="shared" ca="1" si="4"/>
        <v/>
      </c>
    </row>
    <row r="87" spans="7:9" x14ac:dyDescent="0.3">
      <c r="G87" s="52">
        <v>77</v>
      </c>
      <c r="H87" s="41"/>
      <c r="I87" s="45" t="str">
        <f t="shared" ca="1" si="4"/>
        <v/>
      </c>
    </row>
    <row r="88" spans="7:9" x14ac:dyDescent="0.3">
      <c r="H88" s="41"/>
      <c r="I88" s="45" t="str">
        <f t="shared" ca="1" si="4"/>
        <v/>
      </c>
    </row>
    <row r="89" spans="7:9" x14ac:dyDescent="0.3">
      <c r="H89" s="41"/>
      <c r="I89" s="45" t="str">
        <f t="shared" ca="1" si="4"/>
        <v/>
      </c>
    </row>
    <row r="90" spans="7:9" x14ac:dyDescent="0.3">
      <c r="H90" s="41"/>
      <c r="I90" s="45" t="str">
        <f t="shared" ca="1" si="4"/>
        <v/>
      </c>
    </row>
    <row r="91" spans="7:9" ht="18" thickBot="1" x14ac:dyDescent="0.35">
      <c r="H91" s="42"/>
      <c r="I91" s="45" t="str">
        <f t="shared" ca="1" si="4"/>
        <v/>
      </c>
    </row>
  </sheetData>
  <mergeCells count="1">
    <mergeCell ref="B2:H3"/>
  </mergeCells>
  <phoneticPr fontId="2" type="noConversion"/>
  <dataValidations count="2">
    <dataValidation imeMode="halfHangul" allowBlank="1" showInputMessage="1" showErrorMessage="1" sqref="I11:I91 F11:F41 G11:G87"/>
    <dataValidation type="whole" allowBlank="1" showInputMessage="1" showErrorMessage="1" sqref="E6">
      <formula1>1</formula1>
      <formula2>12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Hangul" allowBlank="1" showInputMessage="1" showErrorMessage="1">
          <x14:formula1>
            <xm:f>'식대 지원 계산'!$N$8:$N$13</xm:f>
          </x14:formula1>
          <xm:sqref>E11:E41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0"/>
  <sheetViews>
    <sheetView zoomScale="56" zoomScaleNormal="56" workbookViewId="0">
      <selection activeCell="C1" sqref="C1"/>
    </sheetView>
  </sheetViews>
  <sheetFormatPr defaultColWidth="11.5546875" defaultRowHeight="17.25" x14ac:dyDescent="0.3"/>
  <cols>
    <col min="1" max="1" width="9" customWidth="1"/>
    <col min="3" max="3" width="10.6640625" style="1"/>
    <col min="9" max="9" width="10.6640625" style="1"/>
    <col min="10" max="10" width="14" customWidth="1"/>
    <col min="11" max="13" width="10.6640625" customWidth="1"/>
    <col min="14" max="14" width="10.6640625" hidden="1" customWidth="1"/>
    <col min="15" max="16" width="11.5546875" hidden="1" customWidth="1"/>
    <col min="17" max="17" width="10.6640625" customWidth="1"/>
  </cols>
  <sheetData>
    <row r="2" spans="2:16" ht="27" customHeight="1" x14ac:dyDescent="0.3">
      <c r="B2" s="35" t="s">
        <v>37</v>
      </c>
      <c r="C2" s="35"/>
      <c r="D2" s="19">
        <f>'데이터 입력'!$E$8</f>
        <v>16500</v>
      </c>
      <c r="H2" s="36" t="s">
        <v>40</v>
      </c>
      <c r="I2" s="36"/>
      <c r="J2" s="2">
        <f ca="1">IF($D$2-$D$3&gt;0,$D$2-$D$3,0)</f>
        <v>0</v>
      </c>
    </row>
    <row r="3" spans="2:16" ht="27" customHeight="1" x14ac:dyDescent="0.3">
      <c r="B3" s="35" t="s">
        <v>38</v>
      </c>
      <c r="C3" s="35"/>
      <c r="D3" s="19">
        <f ca="1">-SUM($J$12,$J$19,$J$26,$J$33,$J$40)*5500</f>
        <v>16500</v>
      </c>
      <c r="H3" s="37" t="s">
        <v>41</v>
      </c>
      <c r="I3" s="37"/>
      <c r="J3" s="2">
        <f ca="1">IF($D$2-$D$3&lt;0,$D$2-$D$3,0)</f>
        <v>0</v>
      </c>
    </row>
    <row r="4" spans="2:16" ht="18" thickBot="1" x14ac:dyDescent="0.35"/>
    <row r="5" spans="2:16" ht="18" thickBot="1" x14ac:dyDescent="0.35">
      <c r="B5" s="10" t="s">
        <v>39</v>
      </c>
      <c r="C5" s="11" t="s">
        <v>0</v>
      </c>
      <c r="D5" s="12" t="s">
        <v>1</v>
      </c>
      <c r="E5" s="12" t="s">
        <v>2</v>
      </c>
      <c r="F5" s="12" t="s">
        <v>3</v>
      </c>
      <c r="G5" s="12" t="s">
        <v>4</v>
      </c>
      <c r="H5" s="12" t="s">
        <v>5</v>
      </c>
      <c r="I5" s="13" t="s">
        <v>6</v>
      </c>
      <c r="J5" s="9" t="s">
        <v>35</v>
      </c>
    </row>
    <row r="6" spans="2:16" ht="33.75" customHeight="1" x14ac:dyDescent="0.3">
      <c r="B6" s="14" t="s">
        <v>7</v>
      </c>
      <c r="C6" s="15">
        <f ca="1">DATE(YEAR(DATE(YEAR(TODAY()),'데이터 입력'!$E$6,1)),'데이터 입력'!$E$6,1)-WEEKDAY(DATE(YEAR(DATE(YEAR(TODAY()),'데이터 입력'!$E$6,1)),'데이터 입력'!$E$6,1),1)+1</f>
        <v>45536</v>
      </c>
      <c r="D6" s="14">
        <f t="shared" ref="D6:I6" ca="1" si="0">C6+1</f>
        <v>45537</v>
      </c>
      <c r="E6" s="14">
        <f t="shared" ca="1" si="0"/>
        <v>45538</v>
      </c>
      <c r="F6" s="14">
        <f t="shared" ca="1" si="0"/>
        <v>45539</v>
      </c>
      <c r="G6" s="14">
        <f t="shared" ca="1" si="0"/>
        <v>45540</v>
      </c>
      <c r="H6" s="14">
        <f t="shared" ca="1" si="0"/>
        <v>45541</v>
      </c>
      <c r="I6" s="14">
        <f t="shared" ca="1" si="0"/>
        <v>45542</v>
      </c>
      <c r="J6" s="38" t="s">
        <v>18</v>
      </c>
    </row>
    <row r="7" spans="2:16" ht="18" thickBot="1" x14ac:dyDescent="0.35">
      <c r="B7" s="6" t="s">
        <v>8</v>
      </c>
      <c r="C7" s="6" t="str">
        <f ca="1">IFERROR(VLOOKUP(VLOOKUP(C6,'데이터 입력'!$B:$E,4,0),$N$8:$O$13,2,0)," ")</f>
        <v>당직</v>
      </c>
      <c r="D7" s="6" t="str">
        <f ca="1">IFERROR(VLOOKUP(VLOOKUP(D6,'데이터 입력'!$B:$E,4,0),$N$8:$O$13,2,0)," ")</f>
        <v>비번</v>
      </c>
      <c r="E7" s="6" t="str">
        <f ca="1">IFERROR(VLOOKUP(VLOOKUP(E6,'데이터 입력'!$B:$E,4,0),$N$8:$O$13,2,0)," ")</f>
        <v>주간</v>
      </c>
      <c r="F7" s="6" t="str">
        <f ca="1">IFERROR(VLOOKUP(VLOOKUP(F6,'데이터 입력'!$B:$E,4,0),$N$8:$O$13,2,0)," ")</f>
        <v>당직</v>
      </c>
      <c r="G7" s="6" t="str">
        <f ca="1">IFERROR(VLOOKUP(VLOOKUP(G6,'데이터 입력'!$B:$E,4,0),$N$8:$O$13,2,0)," ")</f>
        <v>비번</v>
      </c>
      <c r="H7" s="6" t="str">
        <f ca="1">IFERROR(VLOOKUP(VLOOKUP(H6,'데이터 입력'!$B:$E,4,0),$N$8:$O$13,2,0)," ")</f>
        <v>주간</v>
      </c>
      <c r="I7" s="6" t="str">
        <f ca="1">IFERROR(VLOOKUP(VLOOKUP(I6,'데이터 입력'!$B:$E,4,0),$N$8:$O$13,2,0)," ")</f>
        <v>당직</v>
      </c>
      <c r="J7" s="39"/>
      <c r="P7" t="s">
        <v>24</v>
      </c>
    </row>
    <row r="8" spans="2:16" x14ac:dyDescent="0.3">
      <c r="B8" s="5" t="s">
        <v>16</v>
      </c>
      <c r="C8" s="5">
        <f ca="1">CHOOSE(VLOOKUP(C7,$O$8:$P$14,2,0),1,2,0,0,0,0,0)</f>
        <v>2</v>
      </c>
      <c r="D8" s="5">
        <f t="shared" ref="D8:I8" ca="1" si="1">CHOOSE(VLOOKUP(D7,$O$8:$P$14,2,0),1,2,0,0,0,0,0)</f>
        <v>0</v>
      </c>
      <c r="E8" s="5">
        <f t="shared" ca="1" si="1"/>
        <v>1</v>
      </c>
      <c r="F8" s="5">
        <f t="shared" ca="1" si="1"/>
        <v>2</v>
      </c>
      <c r="G8" s="5">
        <f t="shared" ca="1" si="1"/>
        <v>0</v>
      </c>
      <c r="H8" s="5">
        <f t="shared" ca="1" si="1"/>
        <v>1</v>
      </c>
      <c r="I8" s="5">
        <f t="shared" ca="1" si="1"/>
        <v>2</v>
      </c>
      <c r="J8" s="8">
        <f ca="1">SUM(C8:I8)</f>
        <v>8</v>
      </c>
      <c r="N8" t="s">
        <v>28</v>
      </c>
      <c r="O8" t="s">
        <v>14</v>
      </c>
      <c r="P8">
        <v>1</v>
      </c>
    </row>
    <row r="9" spans="2:16" x14ac:dyDescent="0.3">
      <c r="B9" s="47" t="s">
        <v>9</v>
      </c>
      <c r="C9" s="47">
        <f t="shared" ref="C9:I9" ca="1" si="2">IF(C8+VLOOKUP(C$5,$O$16:$P$22,2,0)&lt;0,0,C8+VLOOKUP(C$5,$O$16:$P$22,2,0))</f>
        <v>0</v>
      </c>
      <c r="D9" s="47">
        <f t="shared" ca="1" si="2"/>
        <v>0</v>
      </c>
      <c r="E9" s="47">
        <f t="shared" ca="1" si="2"/>
        <v>1</v>
      </c>
      <c r="F9" s="47">
        <f t="shared" ca="1" si="2"/>
        <v>2</v>
      </c>
      <c r="G9" s="47">
        <f t="shared" ca="1" si="2"/>
        <v>0</v>
      </c>
      <c r="H9" s="47">
        <f t="shared" ca="1" si="2"/>
        <v>1</v>
      </c>
      <c r="I9" s="47">
        <f t="shared" ca="1" si="2"/>
        <v>1</v>
      </c>
      <c r="J9" s="48">
        <f ca="1">SUM(C9:I9)</f>
        <v>5</v>
      </c>
      <c r="N9" t="s">
        <v>26</v>
      </c>
      <c r="O9" t="s">
        <v>11</v>
      </c>
      <c r="P9">
        <v>2</v>
      </c>
    </row>
    <row r="10" spans="2:16" x14ac:dyDescent="0.3">
      <c r="B10" s="47" t="s">
        <v>17</v>
      </c>
      <c r="C10" s="47">
        <f ca="1">C8-C9</f>
        <v>2</v>
      </c>
      <c r="D10" s="47">
        <f t="shared" ref="D10:I10" ca="1" si="3">D8-D9</f>
        <v>0</v>
      </c>
      <c r="E10" s="47">
        <f t="shared" ca="1" si="3"/>
        <v>0</v>
      </c>
      <c r="F10" s="47">
        <f t="shared" ca="1" si="3"/>
        <v>0</v>
      </c>
      <c r="G10" s="47">
        <f t="shared" ca="1" si="3"/>
        <v>0</v>
      </c>
      <c r="H10" s="47">
        <f t="shared" ca="1" si="3"/>
        <v>0</v>
      </c>
      <c r="I10" s="47">
        <f t="shared" ca="1" si="3"/>
        <v>1</v>
      </c>
      <c r="J10" s="48">
        <f ca="1">SUM(C10:I10)</f>
        <v>3</v>
      </c>
      <c r="N10" t="s">
        <v>27</v>
      </c>
      <c r="O10" t="s">
        <v>12</v>
      </c>
      <c r="P10">
        <v>3</v>
      </c>
    </row>
    <row r="11" spans="2:16" x14ac:dyDescent="0.3">
      <c r="B11" s="17" t="s">
        <v>10</v>
      </c>
      <c r="C11" s="17">
        <f ca="1">COUNTIF('데이터 입력'!$I:$I,C6)</f>
        <v>0</v>
      </c>
      <c r="D11" s="17">
        <f ca="1">COUNTIF('데이터 입력'!$I:$I,D6)</f>
        <v>1</v>
      </c>
      <c r="E11" s="17">
        <f ca="1">COUNTIF('데이터 입력'!$I:$I,E6)</f>
        <v>2</v>
      </c>
      <c r="F11" s="17">
        <f ca="1">COUNTIF('데이터 입력'!$I:$I,F6)</f>
        <v>0</v>
      </c>
      <c r="G11" s="17">
        <f ca="1">COUNTIF('데이터 입력'!$I:$I,G6)</f>
        <v>2</v>
      </c>
      <c r="H11" s="17">
        <f ca="1">COUNTIF('데이터 입력'!$I:$I,H6)</f>
        <v>3</v>
      </c>
      <c r="I11" s="17">
        <f ca="1">COUNTIF('데이터 입력'!$I:$I,I6)</f>
        <v>0</v>
      </c>
      <c r="J11" s="18">
        <f ca="1">SUM(C11:I11)</f>
        <v>8</v>
      </c>
      <c r="N11" t="s">
        <v>29</v>
      </c>
      <c r="O11" t="s">
        <v>13</v>
      </c>
      <c r="P11">
        <v>4</v>
      </c>
    </row>
    <row r="12" spans="2:16" ht="18" thickBot="1" x14ac:dyDescent="0.35">
      <c r="B12" s="46" t="s">
        <v>34</v>
      </c>
      <c r="C12" s="4">
        <f t="shared" ref="C12:F12" ca="1" si="4">SUM(C9,C10)-C11</f>
        <v>2</v>
      </c>
      <c r="D12" s="4">
        <f t="shared" ca="1" si="4"/>
        <v>-1</v>
      </c>
      <c r="E12" s="4">
        <f t="shared" ca="1" si="4"/>
        <v>-1</v>
      </c>
      <c r="F12" s="4">
        <f t="shared" ca="1" si="4"/>
        <v>2</v>
      </c>
      <c r="G12" s="4">
        <f ca="1">SUM(G9,G10)-G11</f>
        <v>-2</v>
      </c>
      <c r="H12" s="4">
        <f ca="1">SUM(H9,H10)-H11</f>
        <v>-2</v>
      </c>
      <c r="I12" s="4">
        <f ca="1">SUM(I9,I10)-I11</f>
        <v>2</v>
      </c>
      <c r="J12" s="7">
        <f ca="1">SUM(J9,J10)-J11</f>
        <v>0</v>
      </c>
      <c r="N12" t="s">
        <v>30</v>
      </c>
      <c r="O12" t="s">
        <v>15</v>
      </c>
      <c r="P12">
        <v>5</v>
      </c>
    </row>
    <row r="13" spans="2:16" ht="35.25" customHeight="1" x14ac:dyDescent="0.3">
      <c r="B13" s="16" t="s">
        <v>7</v>
      </c>
      <c r="C13" s="16">
        <f ca="1">$C6+7</f>
        <v>45543</v>
      </c>
      <c r="D13" s="16">
        <f t="shared" ref="D13:I13" ca="1" si="5">C13+1</f>
        <v>45544</v>
      </c>
      <c r="E13" s="16">
        <f t="shared" ca="1" si="5"/>
        <v>45545</v>
      </c>
      <c r="F13" s="16">
        <f t="shared" ca="1" si="5"/>
        <v>45546</v>
      </c>
      <c r="G13" s="16">
        <f t="shared" ca="1" si="5"/>
        <v>45547</v>
      </c>
      <c r="H13" s="16">
        <f t="shared" ca="1" si="5"/>
        <v>45548</v>
      </c>
      <c r="I13" s="16">
        <f t="shared" ca="1" si="5"/>
        <v>45549</v>
      </c>
      <c r="J13" s="40" t="s">
        <v>19</v>
      </c>
      <c r="N13" t="s">
        <v>31</v>
      </c>
      <c r="O13" t="s">
        <v>32</v>
      </c>
      <c r="P13">
        <v>6</v>
      </c>
    </row>
    <row r="14" spans="2:16" ht="18" thickBot="1" x14ac:dyDescent="0.35">
      <c r="B14" s="6" t="s">
        <v>8</v>
      </c>
      <c r="C14" s="6" t="str">
        <f ca="1">IFERROR(VLOOKUP(VLOOKUP(C13,'데이터 입력'!$B:$E,4,0),$N$8:$O$13,2,0)," ")</f>
        <v>비번</v>
      </c>
      <c r="D14" s="6" t="str">
        <f ca="1">IFERROR(VLOOKUP(VLOOKUP(D13,'데이터 입력'!$B:$E,4,0),$N$8:$O$13,2,0)," ")</f>
        <v>주간</v>
      </c>
      <c r="E14" s="6" t="str">
        <f ca="1">IFERROR(VLOOKUP(VLOOKUP(E13,'데이터 입력'!$B:$E,4,0),$N$8:$O$13,2,0)," ")</f>
        <v>당직</v>
      </c>
      <c r="F14" s="6" t="str">
        <f ca="1">IFERROR(VLOOKUP(VLOOKUP(F13,'데이터 입력'!$B:$E,4,0),$N$8:$O$13,2,0)," ")</f>
        <v>비번</v>
      </c>
      <c r="G14" s="6" t="str">
        <f ca="1">IFERROR(VLOOKUP(VLOOKUP(G13,'데이터 입력'!$B:$E,4,0),$N$8:$O$13,2,0)," ")</f>
        <v>주간</v>
      </c>
      <c r="H14" s="6" t="str">
        <f ca="1">IFERROR(VLOOKUP(VLOOKUP(H13,'데이터 입력'!$B:$E,4,0),$N$8:$O$13,2,0)," ")</f>
        <v>당직</v>
      </c>
      <c r="I14" s="6" t="str">
        <f ca="1">IFERROR(VLOOKUP(VLOOKUP(I13,'데이터 입력'!$B:$E,4,0),$N$8:$O$13,2,0)," ")</f>
        <v>비번</v>
      </c>
      <c r="J14" s="39"/>
      <c r="O14" t="s">
        <v>25</v>
      </c>
      <c r="P14">
        <v>7</v>
      </c>
    </row>
    <row r="15" spans="2:16" x14ac:dyDescent="0.3">
      <c r="B15" s="5" t="s">
        <v>16</v>
      </c>
      <c r="C15" s="5">
        <f t="shared" ref="C15:I15" ca="1" si="6">CHOOSE(VLOOKUP(C14,$O$8:$P$14,2,0),1,2,0,0,0,0,0)</f>
        <v>0</v>
      </c>
      <c r="D15" s="5">
        <f t="shared" ca="1" si="6"/>
        <v>1</v>
      </c>
      <c r="E15" s="5">
        <f t="shared" ca="1" si="6"/>
        <v>2</v>
      </c>
      <c r="F15" s="5">
        <f t="shared" ca="1" si="6"/>
        <v>0</v>
      </c>
      <c r="G15" s="5">
        <f t="shared" ca="1" si="6"/>
        <v>1</v>
      </c>
      <c r="H15" s="5">
        <f t="shared" ca="1" si="6"/>
        <v>2</v>
      </c>
      <c r="I15" s="5">
        <f t="shared" ca="1" si="6"/>
        <v>0</v>
      </c>
      <c r="J15" s="8">
        <f ca="1">SUM(C15:I15)</f>
        <v>6</v>
      </c>
    </row>
    <row r="16" spans="2:16" x14ac:dyDescent="0.3">
      <c r="B16" s="47" t="s">
        <v>9</v>
      </c>
      <c r="C16" s="47">
        <f t="shared" ref="C16:I16" ca="1" si="7">IF(C15+VLOOKUP(C$5,$O$16:$P$22,2,0)&lt;0,0,C15+VLOOKUP(C$5,$O$16:$P$22,2,0))</f>
        <v>0</v>
      </c>
      <c r="D16" s="47">
        <f t="shared" ca="1" si="7"/>
        <v>1</v>
      </c>
      <c r="E16" s="47">
        <f t="shared" ca="1" si="7"/>
        <v>2</v>
      </c>
      <c r="F16" s="47">
        <f t="shared" ca="1" si="7"/>
        <v>0</v>
      </c>
      <c r="G16" s="47">
        <f t="shared" ca="1" si="7"/>
        <v>1</v>
      </c>
      <c r="H16" s="47">
        <f t="shared" ca="1" si="7"/>
        <v>2</v>
      </c>
      <c r="I16" s="47">
        <f t="shared" ca="1" si="7"/>
        <v>0</v>
      </c>
      <c r="J16" s="48">
        <f ca="1">SUM(C16:I16)</f>
        <v>6</v>
      </c>
      <c r="O16" t="s">
        <v>6</v>
      </c>
      <c r="P16">
        <v>-1</v>
      </c>
    </row>
    <row r="17" spans="2:16" x14ac:dyDescent="0.3">
      <c r="B17" s="47" t="s">
        <v>17</v>
      </c>
      <c r="C17" s="47">
        <f t="shared" ref="C17:I17" ca="1" si="8">C15-C16</f>
        <v>0</v>
      </c>
      <c r="D17" s="47">
        <f t="shared" ca="1" si="8"/>
        <v>0</v>
      </c>
      <c r="E17" s="47">
        <f t="shared" ca="1" si="8"/>
        <v>0</v>
      </c>
      <c r="F17" s="47">
        <f t="shared" ca="1" si="8"/>
        <v>0</v>
      </c>
      <c r="G17" s="47">
        <f t="shared" ca="1" si="8"/>
        <v>0</v>
      </c>
      <c r="H17" s="47">
        <f t="shared" ca="1" si="8"/>
        <v>0</v>
      </c>
      <c r="I17" s="47">
        <f t="shared" ca="1" si="8"/>
        <v>0</v>
      </c>
      <c r="J17" s="48">
        <f ca="1">SUM(C17:I17)</f>
        <v>0</v>
      </c>
      <c r="O17" t="s">
        <v>0</v>
      </c>
      <c r="P17">
        <v>-2</v>
      </c>
    </row>
    <row r="18" spans="2:16" x14ac:dyDescent="0.3">
      <c r="B18" s="17" t="s">
        <v>10</v>
      </c>
      <c r="C18" s="17">
        <f ca="1">COUNTIF('데이터 입력'!$I:$I,C13)</f>
        <v>0</v>
      </c>
      <c r="D18" s="17">
        <f ca="1">COUNTIF('데이터 입력'!$I:$I,D13)</f>
        <v>3</v>
      </c>
      <c r="E18" s="17">
        <f ca="1">COUNTIF('데이터 입력'!$I:$I,E13)</f>
        <v>0</v>
      </c>
      <c r="F18" s="17">
        <f ca="1">COUNTIF('데이터 입력'!$I:$I,F13)</f>
        <v>0</v>
      </c>
      <c r="G18" s="17">
        <f ca="1">COUNTIF('데이터 입력'!$I:$I,G13)</f>
        <v>4</v>
      </c>
      <c r="H18" s="17">
        <f ca="1">COUNTIF('데이터 입력'!$I:$I,H13)</f>
        <v>0</v>
      </c>
      <c r="I18" s="17">
        <f ca="1">COUNTIF('데이터 입력'!$I:$I,I13)</f>
        <v>0</v>
      </c>
      <c r="J18" s="18">
        <f ca="1">SUM(C18:I18)</f>
        <v>7</v>
      </c>
      <c r="O18" t="s">
        <v>1</v>
      </c>
      <c r="P18">
        <v>0</v>
      </c>
    </row>
    <row r="19" spans="2:16" ht="18" thickBot="1" x14ac:dyDescent="0.35">
      <c r="B19" s="46" t="s">
        <v>34</v>
      </c>
      <c r="C19" s="4">
        <f t="shared" ref="C19:J19" ca="1" si="9">SUM(C16,C17)-C18</f>
        <v>0</v>
      </c>
      <c r="D19" s="4">
        <f t="shared" ca="1" si="9"/>
        <v>-2</v>
      </c>
      <c r="E19" s="4">
        <f t="shared" ca="1" si="9"/>
        <v>2</v>
      </c>
      <c r="F19" s="4">
        <f t="shared" ca="1" si="9"/>
        <v>0</v>
      </c>
      <c r="G19" s="4">
        <f t="shared" ca="1" si="9"/>
        <v>-3</v>
      </c>
      <c r="H19" s="4">
        <f t="shared" ca="1" si="9"/>
        <v>2</v>
      </c>
      <c r="I19" s="4">
        <f t="shared" ca="1" si="9"/>
        <v>0</v>
      </c>
      <c r="J19" s="7">
        <f t="shared" ca="1" si="9"/>
        <v>-1</v>
      </c>
      <c r="O19" t="s">
        <v>2</v>
      </c>
      <c r="P19">
        <v>0</v>
      </c>
    </row>
    <row r="20" spans="2:16" ht="35.25" customHeight="1" x14ac:dyDescent="0.3">
      <c r="B20" s="16" t="s">
        <v>7</v>
      </c>
      <c r="C20" s="16">
        <f ca="1">$C13+7</f>
        <v>45550</v>
      </c>
      <c r="D20" s="16">
        <f t="shared" ref="D20:I20" ca="1" si="10">C20+1</f>
        <v>45551</v>
      </c>
      <c r="E20" s="16">
        <f t="shared" ca="1" si="10"/>
        <v>45552</v>
      </c>
      <c r="F20" s="16">
        <f t="shared" ca="1" si="10"/>
        <v>45553</v>
      </c>
      <c r="G20" s="16">
        <f t="shared" ca="1" si="10"/>
        <v>45554</v>
      </c>
      <c r="H20" s="16">
        <f t="shared" ca="1" si="10"/>
        <v>45555</v>
      </c>
      <c r="I20" s="16">
        <f t="shared" ca="1" si="10"/>
        <v>45556</v>
      </c>
      <c r="J20" s="40" t="s">
        <v>20</v>
      </c>
      <c r="O20" t="s">
        <v>3</v>
      </c>
      <c r="P20">
        <v>0</v>
      </c>
    </row>
    <row r="21" spans="2:16" ht="18" thickBot="1" x14ac:dyDescent="0.35">
      <c r="B21" s="6" t="s">
        <v>8</v>
      </c>
      <c r="C21" s="6" t="str">
        <f ca="1">IFERROR(VLOOKUP(VLOOKUP(C20,'데이터 입력'!$B:$E,4,0),$N$8:$O$13,2,0)," ")</f>
        <v>휴무</v>
      </c>
      <c r="D21" s="6" t="str">
        <f ca="1">IFERROR(VLOOKUP(VLOOKUP(D20,'데이터 입력'!$B:$E,4,0),$N$8:$O$13,2,0)," ")</f>
        <v>당직</v>
      </c>
      <c r="E21" s="6" t="str">
        <f ca="1">IFERROR(VLOOKUP(VLOOKUP(E20,'데이터 입력'!$B:$E,4,0),$N$8:$O$13,2,0)," ")</f>
        <v>비번</v>
      </c>
      <c r="F21" s="6" t="str">
        <f ca="1">IFERROR(VLOOKUP(VLOOKUP(F20,'데이터 입력'!$B:$E,4,0),$N$8:$O$13,2,0)," ")</f>
        <v>휴무</v>
      </c>
      <c r="G21" s="6" t="str">
        <f ca="1">IFERROR(VLOOKUP(VLOOKUP(G20,'데이터 입력'!$B:$E,4,0),$N$8:$O$13,2,0)," ")</f>
        <v>당직</v>
      </c>
      <c r="H21" s="6" t="str">
        <f ca="1">IFERROR(VLOOKUP(VLOOKUP(H20,'데이터 입력'!$B:$E,4,0),$N$8:$O$13,2,0)," ")</f>
        <v>비번</v>
      </c>
      <c r="I21" s="6" t="str">
        <f ca="1">IFERROR(VLOOKUP(VLOOKUP(I20,'데이터 입력'!$B:$E,4,0),$N$8:$O$13,2,0)," ")</f>
        <v>휴무</v>
      </c>
      <c r="J21" s="39"/>
      <c r="O21" t="s">
        <v>4</v>
      </c>
      <c r="P21">
        <v>0</v>
      </c>
    </row>
    <row r="22" spans="2:16" x14ac:dyDescent="0.3">
      <c r="B22" s="5" t="s">
        <v>16</v>
      </c>
      <c r="C22" s="5">
        <f t="shared" ref="C22:I22" ca="1" si="11">CHOOSE(VLOOKUP(C21,$O$8:$P$14,2,0),1,2,0,0,0,0,0)</f>
        <v>0</v>
      </c>
      <c r="D22" s="5">
        <f t="shared" ca="1" si="11"/>
        <v>2</v>
      </c>
      <c r="E22" s="5">
        <f t="shared" ca="1" si="11"/>
        <v>0</v>
      </c>
      <c r="F22" s="5">
        <f t="shared" ca="1" si="11"/>
        <v>0</v>
      </c>
      <c r="G22" s="5">
        <f t="shared" ca="1" si="11"/>
        <v>2</v>
      </c>
      <c r="H22" s="5">
        <f t="shared" ca="1" si="11"/>
        <v>0</v>
      </c>
      <c r="I22" s="5">
        <f t="shared" ca="1" si="11"/>
        <v>0</v>
      </c>
      <c r="J22" s="8">
        <f ca="1">SUM(C22:I22)</f>
        <v>4</v>
      </c>
      <c r="O22" t="s">
        <v>5</v>
      </c>
      <c r="P22">
        <v>0</v>
      </c>
    </row>
    <row r="23" spans="2:16" x14ac:dyDescent="0.3">
      <c r="B23" s="47" t="s">
        <v>9</v>
      </c>
      <c r="C23" s="47">
        <f t="shared" ref="C23:I23" ca="1" si="12">IF(C22+VLOOKUP(C$5,$O$16:$P$22,2,0)&lt;0,0,C22+VLOOKUP(C$5,$O$16:$P$22,2,0))</f>
        <v>0</v>
      </c>
      <c r="D23" s="47">
        <f t="shared" ca="1" si="12"/>
        <v>2</v>
      </c>
      <c r="E23" s="47">
        <f t="shared" ca="1" si="12"/>
        <v>0</v>
      </c>
      <c r="F23" s="47">
        <f t="shared" ca="1" si="12"/>
        <v>0</v>
      </c>
      <c r="G23" s="47">
        <f t="shared" ca="1" si="12"/>
        <v>2</v>
      </c>
      <c r="H23" s="47">
        <f t="shared" ca="1" si="12"/>
        <v>0</v>
      </c>
      <c r="I23" s="47">
        <f t="shared" ca="1" si="12"/>
        <v>0</v>
      </c>
      <c r="J23" s="48">
        <f ca="1">SUM(C23:I23)</f>
        <v>4</v>
      </c>
    </row>
    <row r="24" spans="2:16" x14ac:dyDescent="0.3">
      <c r="B24" s="47" t="s">
        <v>17</v>
      </c>
      <c r="C24" s="47">
        <f t="shared" ref="C24:I24" ca="1" si="13">C22-C23</f>
        <v>0</v>
      </c>
      <c r="D24" s="47">
        <f t="shared" ca="1" si="13"/>
        <v>0</v>
      </c>
      <c r="E24" s="47">
        <f t="shared" ca="1" si="13"/>
        <v>0</v>
      </c>
      <c r="F24" s="47">
        <f t="shared" ca="1" si="13"/>
        <v>0</v>
      </c>
      <c r="G24" s="47">
        <f t="shared" ca="1" si="13"/>
        <v>0</v>
      </c>
      <c r="H24" s="47">
        <f t="shared" ca="1" si="13"/>
        <v>0</v>
      </c>
      <c r="I24" s="47">
        <f t="shared" ca="1" si="13"/>
        <v>0</v>
      </c>
      <c r="J24" s="48">
        <f ca="1">SUM(C24:I24)</f>
        <v>0</v>
      </c>
    </row>
    <row r="25" spans="2:16" x14ac:dyDescent="0.3">
      <c r="B25" s="17" t="s">
        <v>10</v>
      </c>
      <c r="C25" s="17">
        <f ca="1">COUNTIF('데이터 입력'!$I:$I,C20)</f>
        <v>0</v>
      </c>
      <c r="D25" s="17">
        <f ca="1">COUNTIF('데이터 입력'!$I:$I,D20)</f>
        <v>0</v>
      </c>
      <c r="E25" s="17">
        <f ca="1">COUNTIF('데이터 입력'!$I:$I,E20)</f>
        <v>0</v>
      </c>
      <c r="F25" s="17">
        <f ca="1">COUNTIF('데이터 입력'!$I:$I,F20)</f>
        <v>0</v>
      </c>
      <c r="G25" s="17">
        <f ca="1">COUNTIF('데이터 입력'!$I:$I,G20)</f>
        <v>0</v>
      </c>
      <c r="H25" s="17">
        <f ca="1">COUNTIF('데이터 입력'!$I:$I,H20)</f>
        <v>1</v>
      </c>
      <c r="I25" s="17">
        <f ca="1">COUNTIF('데이터 입력'!$I:$I,I20)</f>
        <v>1</v>
      </c>
      <c r="J25" s="18">
        <f ca="1">SUM(C25:I25)</f>
        <v>2</v>
      </c>
    </row>
    <row r="26" spans="2:16" ht="18" thickBot="1" x14ac:dyDescent="0.35">
      <c r="B26" s="46" t="s">
        <v>34</v>
      </c>
      <c r="C26" s="4">
        <f t="shared" ref="C26:J26" ca="1" si="14">SUM(C23,C24)-C25</f>
        <v>0</v>
      </c>
      <c r="D26" s="4">
        <f t="shared" ca="1" si="14"/>
        <v>2</v>
      </c>
      <c r="E26" s="4">
        <f t="shared" ca="1" si="14"/>
        <v>0</v>
      </c>
      <c r="F26" s="4">
        <f t="shared" ca="1" si="14"/>
        <v>0</v>
      </c>
      <c r="G26" s="4">
        <f t="shared" ca="1" si="14"/>
        <v>2</v>
      </c>
      <c r="H26" s="4">
        <f t="shared" ca="1" si="14"/>
        <v>-1</v>
      </c>
      <c r="I26" s="4">
        <f t="shared" ca="1" si="14"/>
        <v>-1</v>
      </c>
      <c r="J26" s="7">
        <f t="shared" ca="1" si="14"/>
        <v>2</v>
      </c>
    </row>
    <row r="27" spans="2:16" ht="33.75" customHeight="1" x14ac:dyDescent="0.3">
      <c r="B27" s="16" t="s">
        <v>7</v>
      </c>
      <c r="C27" s="16">
        <f ca="1">$C20+7</f>
        <v>45557</v>
      </c>
      <c r="D27" s="16">
        <f t="shared" ref="D27:I27" ca="1" si="15">C27+1</f>
        <v>45558</v>
      </c>
      <c r="E27" s="16">
        <f t="shared" ca="1" si="15"/>
        <v>45559</v>
      </c>
      <c r="F27" s="16">
        <f t="shared" ca="1" si="15"/>
        <v>45560</v>
      </c>
      <c r="G27" s="16">
        <f t="shared" ca="1" si="15"/>
        <v>45561</v>
      </c>
      <c r="H27" s="16">
        <f t="shared" ca="1" si="15"/>
        <v>45562</v>
      </c>
      <c r="I27" s="16">
        <f t="shared" ca="1" si="15"/>
        <v>45563</v>
      </c>
      <c r="J27" s="40" t="s">
        <v>21</v>
      </c>
    </row>
    <row r="28" spans="2:16" ht="18" thickBot="1" x14ac:dyDescent="0.35">
      <c r="B28" s="6" t="s">
        <v>8</v>
      </c>
      <c r="C28" s="6" t="str">
        <f ca="1">IFERROR(VLOOKUP(VLOOKUP(C27,'데이터 입력'!$B:$E,4,0),$N$8:$O$13,2,0)," ")</f>
        <v>당직</v>
      </c>
      <c r="D28" s="6" t="str">
        <f ca="1">IFERROR(VLOOKUP(VLOOKUP(D27,'데이터 입력'!$B:$E,4,0),$N$8:$O$13,2,0)," ")</f>
        <v>비번</v>
      </c>
      <c r="E28" s="6" t="str">
        <f ca="1">IFERROR(VLOOKUP(VLOOKUP(E27,'데이터 입력'!$B:$E,4,0),$N$8:$O$13,2,0)," ")</f>
        <v>주간</v>
      </c>
      <c r="F28" s="6" t="str">
        <f ca="1">IFERROR(VLOOKUP(VLOOKUP(F27,'데이터 입력'!$B:$E,4,0),$N$8:$O$13,2,0)," ")</f>
        <v>당직</v>
      </c>
      <c r="G28" s="6" t="str">
        <f ca="1">IFERROR(VLOOKUP(VLOOKUP(G27,'데이터 입력'!$B:$E,4,0),$N$8:$O$13,2,0)," ")</f>
        <v>비번</v>
      </c>
      <c r="H28" s="6" t="str">
        <f ca="1">IFERROR(VLOOKUP(VLOOKUP(H27,'데이터 입력'!$B:$E,4,0),$N$8:$O$13,2,0)," ")</f>
        <v>주간</v>
      </c>
      <c r="I28" s="6" t="str">
        <f ca="1">IFERROR(VLOOKUP(VLOOKUP(I27,'데이터 입력'!$B:$E,4,0),$N$8:$O$13,2,0)," ")</f>
        <v>당직</v>
      </c>
      <c r="J28" s="39"/>
    </row>
    <row r="29" spans="2:16" x14ac:dyDescent="0.3">
      <c r="B29" s="5" t="s">
        <v>16</v>
      </c>
      <c r="C29" s="5">
        <f t="shared" ref="C29:I29" ca="1" si="16">CHOOSE(VLOOKUP(C28,$O$8:$P$14,2,0),1,2,0,0,0,0,0)</f>
        <v>2</v>
      </c>
      <c r="D29" s="5">
        <f t="shared" ca="1" si="16"/>
        <v>0</v>
      </c>
      <c r="E29" s="5">
        <f t="shared" ca="1" si="16"/>
        <v>1</v>
      </c>
      <c r="F29" s="5">
        <f t="shared" ca="1" si="16"/>
        <v>2</v>
      </c>
      <c r="G29" s="5">
        <f t="shared" ca="1" si="16"/>
        <v>0</v>
      </c>
      <c r="H29" s="5">
        <f t="shared" ca="1" si="16"/>
        <v>1</v>
      </c>
      <c r="I29" s="5">
        <f t="shared" ca="1" si="16"/>
        <v>2</v>
      </c>
      <c r="J29" s="8">
        <f ca="1">SUM(C29:I29)</f>
        <v>8</v>
      </c>
    </row>
    <row r="30" spans="2:16" x14ac:dyDescent="0.3">
      <c r="B30" s="47" t="s">
        <v>9</v>
      </c>
      <c r="C30" s="47">
        <f t="shared" ref="C30:I30" ca="1" si="17">IF(C29+VLOOKUP(C$5,$O$16:$P$22,2,0)&lt;0,0,C29+VLOOKUP(C$5,$O$16:$P$22,2,0))</f>
        <v>0</v>
      </c>
      <c r="D30" s="47">
        <f t="shared" ca="1" si="17"/>
        <v>0</v>
      </c>
      <c r="E30" s="47">
        <f t="shared" ca="1" si="17"/>
        <v>1</v>
      </c>
      <c r="F30" s="47">
        <f t="shared" ca="1" si="17"/>
        <v>2</v>
      </c>
      <c r="G30" s="47">
        <f t="shared" ca="1" si="17"/>
        <v>0</v>
      </c>
      <c r="H30" s="47">
        <f t="shared" ca="1" si="17"/>
        <v>1</v>
      </c>
      <c r="I30" s="47">
        <f t="shared" ca="1" si="17"/>
        <v>1</v>
      </c>
      <c r="J30" s="48">
        <f ca="1">SUM(C30:I30)</f>
        <v>5</v>
      </c>
    </row>
    <row r="31" spans="2:16" x14ac:dyDescent="0.3">
      <c r="B31" s="47" t="s">
        <v>17</v>
      </c>
      <c r="C31" s="47">
        <f t="shared" ref="C31:I31" ca="1" si="18">C29-C30</f>
        <v>2</v>
      </c>
      <c r="D31" s="47">
        <f t="shared" ca="1" si="18"/>
        <v>0</v>
      </c>
      <c r="E31" s="47">
        <f t="shared" ca="1" si="18"/>
        <v>0</v>
      </c>
      <c r="F31" s="47">
        <f t="shared" ca="1" si="18"/>
        <v>0</v>
      </c>
      <c r="G31" s="47">
        <f t="shared" ca="1" si="18"/>
        <v>0</v>
      </c>
      <c r="H31" s="47">
        <f t="shared" ca="1" si="18"/>
        <v>0</v>
      </c>
      <c r="I31" s="47">
        <f t="shared" ca="1" si="18"/>
        <v>1</v>
      </c>
      <c r="J31" s="48">
        <f ca="1">SUM(C31:I31)</f>
        <v>3</v>
      </c>
    </row>
    <row r="32" spans="2:16" x14ac:dyDescent="0.3">
      <c r="B32" s="17" t="s">
        <v>10</v>
      </c>
      <c r="C32" s="17">
        <f ca="1">COUNTIF('데이터 입력'!$I:$I,C27)</f>
        <v>0</v>
      </c>
      <c r="D32" s="17">
        <f ca="1">COUNTIF('데이터 입력'!$I:$I,D27)</f>
        <v>2</v>
      </c>
      <c r="E32" s="17">
        <f ca="1">COUNTIF('데이터 입력'!$I:$I,E27)</f>
        <v>2</v>
      </c>
      <c r="F32" s="17">
        <f ca="1">COUNTIF('데이터 입력'!$I:$I,F27)</f>
        <v>0</v>
      </c>
      <c r="G32" s="17">
        <f ca="1">COUNTIF('데이터 입력'!$I:$I,G27)</f>
        <v>4</v>
      </c>
      <c r="H32" s="17">
        <f ca="1">COUNTIF('데이터 입력'!$I:$I,H27)</f>
        <v>3</v>
      </c>
      <c r="I32" s="17">
        <f ca="1">COUNTIF('데이터 입력'!$I:$I,I27)</f>
        <v>0</v>
      </c>
      <c r="J32" s="18">
        <f ca="1">SUM(C32:I32)</f>
        <v>11</v>
      </c>
    </row>
    <row r="33" spans="2:10" ht="18" thickBot="1" x14ac:dyDescent="0.35">
      <c r="B33" s="46" t="s">
        <v>34</v>
      </c>
      <c r="C33" s="4">
        <f t="shared" ref="C33:J33" ca="1" si="19">SUM(C30,C31)-C32</f>
        <v>2</v>
      </c>
      <c r="D33" s="4">
        <f t="shared" ca="1" si="19"/>
        <v>-2</v>
      </c>
      <c r="E33" s="4">
        <f t="shared" ca="1" si="19"/>
        <v>-1</v>
      </c>
      <c r="F33" s="4">
        <f t="shared" ca="1" si="19"/>
        <v>2</v>
      </c>
      <c r="G33" s="4">
        <f t="shared" ca="1" si="19"/>
        <v>-4</v>
      </c>
      <c r="H33" s="4">
        <f t="shared" ca="1" si="19"/>
        <v>-2</v>
      </c>
      <c r="I33" s="4">
        <f t="shared" ca="1" si="19"/>
        <v>2</v>
      </c>
      <c r="J33" s="7">
        <f t="shared" ca="1" si="19"/>
        <v>-3</v>
      </c>
    </row>
    <row r="34" spans="2:10" ht="36.75" customHeight="1" x14ac:dyDescent="0.3">
      <c r="B34" s="16" t="s">
        <v>7</v>
      </c>
      <c r="C34" s="16">
        <f ca="1">$C27+7</f>
        <v>45564</v>
      </c>
      <c r="D34" s="16">
        <f t="shared" ref="D34:I34" ca="1" si="20">C34+1</f>
        <v>45565</v>
      </c>
      <c r="E34" s="16">
        <f t="shared" ca="1" si="20"/>
        <v>45566</v>
      </c>
      <c r="F34" s="16">
        <f t="shared" ca="1" si="20"/>
        <v>45567</v>
      </c>
      <c r="G34" s="16">
        <f t="shared" ca="1" si="20"/>
        <v>45568</v>
      </c>
      <c r="H34" s="16">
        <f t="shared" ca="1" si="20"/>
        <v>45569</v>
      </c>
      <c r="I34" s="16">
        <f t="shared" ca="1" si="20"/>
        <v>45570</v>
      </c>
      <c r="J34" s="40" t="s">
        <v>22</v>
      </c>
    </row>
    <row r="35" spans="2:10" ht="18" thickBot="1" x14ac:dyDescent="0.35">
      <c r="B35" s="6" t="s">
        <v>8</v>
      </c>
      <c r="C35" s="6" t="str">
        <f ca="1">IFERROR(VLOOKUP(VLOOKUP(C34,'데이터 입력'!$B:$E,4,0),$N$8:$O$13,2,0)," ")</f>
        <v>비번</v>
      </c>
      <c r="D35" s="6" t="str">
        <f ca="1">IFERROR(VLOOKUP(VLOOKUP(D34,'데이터 입력'!$B:$E,4,0),$N$8:$O$13,2,0)," ")</f>
        <v>주간</v>
      </c>
      <c r="E35" s="6" t="str">
        <f ca="1">IFERROR(VLOOKUP(VLOOKUP(E34,'데이터 입력'!$B:$E,4,0),$N$8:$O$13,2,0)," ")</f>
        <v xml:space="preserve"> </v>
      </c>
      <c r="F35" s="6" t="str">
        <f ca="1">IFERROR(VLOOKUP(VLOOKUP(F34,'데이터 입력'!$B:$E,4,0),$N$8:$O$13,2,0)," ")</f>
        <v xml:space="preserve"> </v>
      </c>
      <c r="G35" s="6" t="str">
        <f ca="1">IFERROR(VLOOKUP(VLOOKUP(G34,'데이터 입력'!$B:$E,4,0),$N$8:$O$13,2,0)," ")</f>
        <v xml:space="preserve"> </v>
      </c>
      <c r="H35" s="6" t="str">
        <f ca="1">IFERROR(VLOOKUP(VLOOKUP(H34,'데이터 입력'!$B:$E,4,0),$N$8:$O$13,2,0)," ")</f>
        <v xml:space="preserve"> </v>
      </c>
      <c r="I35" s="6" t="str">
        <f ca="1">IFERROR(VLOOKUP(VLOOKUP(I34,'데이터 입력'!$B:$E,4,0),$N$8:$O$13,2,0)," ")</f>
        <v xml:space="preserve"> </v>
      </c>
      <c r="J35" s="39"/>
    </row>
    <row r="36" spans="2:10" x14ac:dyDescent="0.3">
      <c r="B36" s="5" t="s">
        <v>16</v>
      </c>
      <c r="C36" s="5">
        <f t="shared" ref="C36:I36" ca="1" si="21">CHOOSE(VLOOKUP(C35,$O$8:$P$14,2,0),1,2,0,0,0,0,0)</f>
        <v>0</v>
      </c>
      <c r="D36" s="5">
        <f t="shared" ca="1" si="21"/>
        <v>1</v>
      </c>
      <c r="E36" s="5">
        <f t="shared" ca="1" si="21"/>
        <v>0</v>
      </c>
      <c r="F36" s="5">
        <f t="shared" ca="1" si="21"/>
        <v>0</v>
      </c>
      <c r="G36" s="5">
        <f t="shared" ca="1" si="21"/>
        <v>0</v>
      </c>
      <c r="H36" s="5">
        <f t="shared" ca="1" si="21"/>
        <v>0</v>
      </c>
      <c r="I36" s="5">
        <f t="shared" ca="1" si="21"/>
        <v>0</v>
      </c>
      <c r="J36" s="8">
        <f ca="1">SUM(C36:I36)</f>
        <v>1</v>
      </c>
    </row>
    <row r="37" spans="2:10" x14ac:dyDescent="0.3">
      <c r="B37" s="47" t="s">
        <v>9</v>
      </c>
      <c r="C37" s="47">
        <f t="shared" ref="C37:I37" ca="1" si="22">IF(C36+VLOOKUP(C$5,$O$16:$P$22,2,0)&lt;0,0,C36+VLOOKUP(C$5,$O$16:$P$22,2,0))</f>
        <v>0</v>
      </c>
      <c r="D37" s="47">
        <f t="shared" ca="1" si="22"/>
        <v>1</v>
      </c>
      <c r="E37" s="47">
        <f t="shared" ca="1" si="22"/>
        <v>0</v>
      </c>
      <c r="F37" s="47">
        <f t="shared" ca="1" si="22"/>
        <v>0</v>
      </c>
      <c r="G37" s="47">
        <f t="shared" ca="1" si="22"/>
        <v>0</v>
      </c>
      <c r="H37" s="47">
        <f t="shared" ca="1" si="22"/>
        <v>0</v>
      </c>
      <c r="I37" s="47">
        <f t="shared" ca="1" si="22"/>
        <v>0</v>
      </c>
      <c r="J37" s="48">
        <f ca="1">SUM(C37:I37)</f>
        <v>1</v>
      </c>
    </row>
    <row r="38" spans="2:10" x14ac:dyDescent="0.3">
      <c r="B38" s="47" t="s">
        <v>17</v>
      </c>
      <c r="C38" s="47">
        <f t="shared" ref="C38:I38" ca="1" si="23">C36-C37</f>
        <v>0</v>
      </c>
      <c r="D38" s="47">
        <f t="shared" ca="1" si="23"/>
        <v>0</v>
      </c>
      <c r="E38" s="47">
        <f t="shared" ca="1" si="23"/>
        <v>0</v>
      </c>
      <c r="F38" s="47">
        <f t="shared" ca="1" si="23"/>
        <v>0</v>
      </c>
      <c r="G38" s="47">
        <f t="shared" ca="1" si="23"/>
        <v>0</v>
      </c>
      <c r="H38" s="47">
        <f t="shared" ca="1" si="23"/>
        <v>0</v>
      </c>
      <c r="I38" s="47">
        <f t="shared" ca="1" si="23"/>
        <v>0</v>
      </c>
      <c r="J38" s="48">
        <f ca="1">SUM(C38:I38)</f>
        <v>0</v>
      </c>
    </row>
    <row r="39" spans="2:10" x14ac:dyDescent="0.3">
      <c r="B39" s="17" t="s">
        <v>10</v>
      </c>
      <c r="C39" s="17">
        <f ca="1">COUNTIF('데이터 입력'!$I:$I,C34)</f>
        <v>0</v>
      </c>
      <c r="D39" s="17">
        <f ca="1">COUNTIF('데이터 입력'!$I:$I,D34)</f>
        <v>2</v>
      </c>
      <c r="E39" s="17">
        <f ca="1">COUNTIF('데이터 입력'!$I:$I,E34)</f>
        <v>0</v>
      </c>
      <c r="F39" s="17">
        <f ca="1">COUNTIF('데이터 입력'!$I:$I,F34)</f>
        <v>0</v>
      </c>
      <c r="G39" s="17">
        <f ca="1">COUNTIF('데이터 입력'!$I:$I,G34)</f>
        <v>0</v>
      </c>
      <c r="H39" s="17">
        <f ca="1">COUNTIF('데이터 입력'!$I:$I,H34)</f>
        <v>0</v>
      </c>
      <c r="I39" s="17">
        <f ca="1">COUNTIF('데이터 입력'!$I:$I,I34)</f>
        <v>0</v>
      </c>
      <c r="J39" s="18">
        <f ca="1">SUM(C39:I39)</f>
        <v>2</v>
      </c>
    </row>
    <row r="40" spans="2:10" ht="18" thickBot="1" x14ac:dyDescent="0.35">
      <c r="B40" s="46" t="s">
        <v>34</v>
      </c>
      <c r="C40" s="4">
        <f t="shared" ref="C40:J40" ca="1" si="24">SUM(C37,C38)-C39</f>
        <v>0</v>
      </c>
      <c r="D40" s="4">
        <f t="shared" ca="1" si="24"/>
        <v>-1</v>
      </c>
      <c r="E40" s="4">
        <f t="shared" ca="1" si="24"/>
        <v>0</v>
      </c>
      <c r="F40" s="4">
        <f t="shared" ca="1" si="24"/>
        <v>0</v>
      </c>
      <c r="G40" s="4">
        <f t="shared" ca="1" si="24"/>
        <v>0</v>
      </c>
      <c r="H40" s="4">
        <f t="shared" ca="1" si="24"/>
        <v>0</v>
      </c>
      <c r="I40" s="4">
        <f t="shared" ca="1" si="24"/>
        <v>0</v>
      </c>
      <c r="J40" s="7">
        <f t="shared" ca="1" si="24"/>
        <v>-1</v>
      </c>
    </row>
  </sheetData>
  <mergeCells count="9">
    <mergeCell ref="J13:J14"/>
    <mergeCell ref="J20:J21"/>
    <mergeCell ref="J27:J28"/>
    <mergeCell ref="J34:J35"/>
    <mergeCell ref="B2:C2"/>
    <mergeCell ref="B3:C3"/>
    <mergeCell ref="H2:I2"/>
    <mergeCell ref="H3:I3"/>
    <mergeCell ref="J6:J7"/>
  </mergeCells>
  <phoneticPr fontId="2" type="noConversion"/>
  <conditionalFormatting sqref="C12:D12 J12">
    <cfRule type="cellIs" dxfId="31" priority="34" operator="greaterThan">
      <formula>0</formula>
    </cfRule>
    <cfRule type="cellIs" dxfId="30" priority="35" operator="lessThan">
      <formula>0</formula>
    </cfRule>
  </conditionalFormatting>
  <conditionalFormatting sqref="J2">
    <cfRule type="cellIs" dxfId="29" priority="30" operator="greaterThan">
      <formula>0</formula>
    </cfRule>
  </conditionalFormatting>
  <conditionalFormatting sqref="J3">
    <cfRule type="cellIs" dxfId="28" priority="29" operator="lessThan">
      <formula>0</formula>
    </cfRule>
  </conditionalFormatting>
  <conditionalFormatting sqref="E12:I12">
    <cfRule type="cellIs" dxfId="27" priority="27" operator="greaterThan">
      <formula>0</formula>
    </cfRule>
    <cfRule type="cellIs" dxfId="26" priority="28" operator="lessThan">
      <formula>0</formula>
    </cfRule>
  </conditionalFormatting>
  <conditionalFormatting sqref="C19:I19">
    <cfRule type="cellIs" dxfId="25" priority="25" operator="greaterThan">
      <formula>0</formula>
    </cfRule>
    <cfRule type="cellIs" dxfId="24" priority="26" operator="lessThan">
      <formula>0</formula>
    </cfRule>
  </conditionalFormatting>
  <conditionalFormatting sqref="C26:I26">
    <cfRule type="cellIs" dxfId="23" priority="23" operator="greaterThan">
      <formula>0</formula>
    </cfRule>
    <cfRule type="cellIs" dxfId="22" priority="24" operator="lessThan">
      <formula>0</formula>
    </cfRule>
  </conditionalFormatting>
  <conditionalFormatting sqref="C33:I33">
    <cfRule type="cellIs" dxfId="21" priority="21" operator="greaterThan">
      <formula>0</formula>
    </cfRule>
    <cfRule type="cellIs" dxfId="20" priority="22" operator="lessThan">
      <formula>0</formula>
    </cfRule>
  </conditionalFormatting>
  <conditionalFormatting sqref="C40:I40">
    <cfRule type="cellIs" dxfId="19" priority="19" operator="greaterThan">
      <formula>0</formula>
    </cfRule>
    <cfRule type="cellIs" dxfId="18" priority="20" operator="lessThan">
      <formula>0</formula>
    </cfRule>
  </conditionalFormatting>
  <conditionalFormatting sqref="J19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J26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J3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J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>
      <selection activeCell="C4" sqref="C4"/>
    </sheetView>
  </sheetViews>
  <sheetFormatPr defaultRowHeight="17.25" x14ac:dyDescent="0.3"/>
  <cols>
    <col min="2" max="2" width="9.77734375" bestFit="1" customWidth="1"/>
  </cols>
  <sheetData>
    <row r="2" spans="2:3" x14ac:dyDescent="0.3">
      <c r="B2" t="s">
        <v>44</v>
      </c>
      <c r="C2" t="s">
        <v>45</v>
      </c>
    </row>
    <row r="3" spans="2:3" x14ac:dyDescent="0.3">
      <c r="B3" s="53">
        <v>45292</v>
      </c>
      <c r="C3" t="s">
        <v>58</v>
      </c>
    </row>
    <row r="4" spans="2:3" x14ac:dyDescent="0.3">
      <c r="B4" s="53">
        <v>45331</v>
      </c>
      <c r="C4" t="s">
        <v>57</v>
      </c>
    </row>
    <row r="5" spans="2:3" x14ac:dyDescent="0.3">
      <c r="B5" s="53">
        <v>45332</v>
      </c>
      <c r="C5" t="s">
        <v>57</v>
      </c>
    </row>
    <row r="6" spans="2:3" x14ac:dyDescent="0.3">
      <c r="B6" s="53">
        <v>45333</v>
      </c>
      <c r="C6" t="s">
        <v>57</v>
      </c>
    </row>
    <row r="7" spans="2:3" x14ac:dyDescent="0.3">
      <c r="B7" s="53">
        <v>45334</v>
      </c>
      <c r="C7" t="s">
        <v>57</v>
      </c>
    </row>
    <row r="8" spans="2:3" x14ac:dyDescent="0.3">
      <c r="B8" s="53">
        <v>45352</v>
      </c>
      <c r="C8" t="s">
        <v>56</v>
      </c>
    </row>
    <row r="9" spans="2:3" x14ac:dyDescent="0.3">
      <c r="B9" s="53">
        <v>45392</v>
      </c>
      <c r="C9" t="s">
        <v>55</v>
      </c>
    </row>
    <row r="10" spans="2:3" x14ac:dyDescent="0.3">
      <c r="B10" s="53">
        <v>45413</v>
      </c>
      <c r="C10" t="s">
        <v>54</v>
      </c>
    </row>
    <row r="11" spans="2:3" x14ac:dyDescent="0.3">
      <c r="B11" s="53">
        <v>45417</v>
      </c>
      <c r="C11" t="s">
        <v>53</v>
      </c>
    </row>
    <row r="12" spans="2:3" x14ac:dyDescent="0.3">
      <c r="B12" s="53">
        <v>45418</v>
      </c>
      <c r="C12" t="s">
        <v>52</v>
      </c>
    </row>
    <row r="13" spans="2:3" x14ac:dyDescent="0.3">
      <c r="B13" s="53">
        <v>45427</v>
      </c>
      <c r="C13" t="s">
        <v>50</v>
      </c>
    </row>
    <row r="14" spans="2:3" x14ac:dyDescent="0.3">
      <c r="B14" s="53">
        <v>45449</v>
      </c>
      <c r="C14" t="s">
        <v>49</v>
      </c>
    </row>
    <row r="15" spans="2:3" x14ac:dyDescent="0.3">
      <c r="B15" s="53">
        <v>45519</v>
      </c>
      <c r="C15" t="s">
        <v>48</v>
      </c>
    </row>
    <row r="16" spans="2:3" x14ac:dyDescent="0.3">
      <c r="B16" s="53">
        <v>45551</v>
      </c>
      <c r="C16" t="s">
        <v>48</v>
      </c>
    </row>
    <row r="17" spans="2:3" x14ac:dyDescent="0.3">
      <c r="B17" s="53">
        <v>45552</v>
      </c>
      <c r="C17" t="s">
        <v>48</v>
      </c>
    </row>
    <row r="18" spans="2:3" x14ac:dyDescent="0.3">
      <c r="B18" s="53">
        <v>45553</v>
      </c>
      <c r="C18" t="s">
        <v>48</v>
      </c>
    </row>
    <row r="19" spans="2:3" x14ac:dyDescent="0.3">
      <c r="B19" s="53">
        <v>45568</v>
      </c>
      <c r="C19" t="s">
        <v>47</v>
      </c>
    </row>
    <row r="20" spans="2:3" x14ac:dyDescent="0.3">
      <c r="B20" s="53">
        <v>45574</v>
      </c>
      <c r="C20" t="s">
        <v>46</v>
      </c>
    </row>
    <row r="21" spans="2:3" x14ac:dyDescent="0.3">
      <c r="B21" s="53">
        <v>45651</v>
      </c>
      <c r="C2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입력</vt:lpstr>
      <vt:lpstr>식대 지원 계산</vt:lpstr>
      <vt:lpstr>참고.공휴일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통합SI</cp:lastModifiedBy>
  <cp:lastPrinted>2024-10-18T06:37:15Z</cp:lastPrinted>
  <dcterms:created xsi:type="dcterms:W3CDTF">2024-09-12T01:57:38Z</dcterms:created>
  <dcterms:modified xsi:type="dcterms:W3CDTF">2024-10-18T07:00:32Z</dcterms:modified>
</cp:coreProperties>
</file>